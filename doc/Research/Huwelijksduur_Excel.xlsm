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uss\OneDrive\Bureaublad\"/>
    </mc:Choice>
  </mc:AlternateContent>
  <xr:revisionPtr revIDLastSave="0" documentId="13_ncr:40009_{5E409477-CE8C-4931-BEDD-2564E269B1A0}" xr6:coauthVersionLast="45" xr6:coauthVersionMax="45" xr10:uidLastSave="{00000000-0000-0000-0000-000000000000}"/>
  <bookViews>
    <workbookView xWindow="-120" yWindow="-120" windowWidth="29040" windowHeight="15840"/>
  </bookViews>
  <sheets>
    <sheet name="Bestaande_huwelijken_naar_huwel" sheetId="1" r:id="rId1"/>
  </sheets>
  <calcPr calcId="0" iterate="1" iterateCount="32767"/>
</workbook>
</file>

<file path=xl/calcChain.xml><?xml version="1.0" encoding="utf-8"?>
<calcChain xmlns="http://schemas.openxmlformats.org/spreadsheetml/2006/main">
  <c r="B116" i="1" l="1"/>
  <c r="B110" i="1"/>
  <c r="B113" i="1" s="1"/>
</calcChain>
</file>

<file path=xl/sharedStrings.xml><?xml version="1.0" encoding="utf-8"?>
<sst xmlns="http://schemas.openxmlformats.org/spreadsheetml/2006/main" count="180" uniqueCount="103">
  <si>
    <t>Bestaande huwelijken naar huwelijksduur, 1 januari</t>
  </si>
  <si>
    <t>Perioden</t>
  </si>
  <si>
    <t>Onderwerp</t>
  </si>
  <si>
    <t>Huwelijksjubilea|12,5 jaar</t>
  </si>
  <si>
    <t>aantal</t>
  </si>
  <si>
    <t>Huwelijksjubilea|25 jaar</t>
  </si>
  <si>
    <t>Huwelijksjubilea|40 jaar</t>
  </si>
  <si>
    <t>Huwelijksjubilea|50 jaar</t>
  </si>
  <si>
    <t>Huwelijksjubilea|60 jaar</t>
  </si>
  <si>
    <t>Huwelijksjubilea|70 jaar</t>
  </si>
  <si>
    <t>Huwelijksduur per jaar|0 jaar</t>
  </si>
  <si>
    <t>Huwelijksduur per jaar|1 jaar</t>
  </si>
  <si>
    <t>Huwelijksduur per jaar|2 jaar</t>
  </si>
  <si>
    <t>Huwelijksduur per jaar|3 jaar</t>
  </si>
  <si>
    <t>Huwelijksduur per jaar|4 jaar</t>
  </si>
  <si>
    <t>Huwelijksduur per jaar|5 jaar</t>
  </si>
  <si>
    <t>Huwelijksduur per jaar|6 jaar</t>
  </si>
  <si>
    <t>Huwelijksduur per jaar|7 jaar</t>
  </si>
  <si>
    <t>Huwelijksduur per jaar|8 jaar</t>
  </si>
  <si>
    <t>Huwelijksduur per jaar|9 jaar</t>
  </si>
  <si>
    <t>Huwelijksduur per jaar|10 jaar</t>
  </si>
  <si>
    <t>Huwelijksduur per jaar|11 jaar</t>
  </si>
  <si>
    <t>Huwelijksduur per jaar|12 jaar</t>
  </si>
  <si>
    <t>Huwelijksduur per jaar|13 jaar</t>
  </si>
  <si>
    <t>Huwelijksduur per jaar|14 jaar</t>
  </si>
  <si>
    <t>Huwelijksduur per jaar|15 jaar</t>
  </si>
  <si>
    <t>Huwelijksduur per jaar|16 jaar</t>
  </si>
  <si>
    <t>Huwelijksduur per jaar|17 jaar</t>
  </si>
  <si>
    <t>Huwelijksduur per jaar|18 jaar</t>
  </si>
  <si>
    <t>Huwelijksduur per jaar|19 jaar</t>
  </si>
  <si>
    <t>Huwelijksduur per jaar|20 jaar</t>
  </si>
  <si>
    <t>Huwelijksduur per jaar|21 jaar</t>
  </si>
  <si>
    <t>Huwelijksduur per jaar|22 jaar</t>
  </si>
  <si>
    <t>Huwelijksduur per jaar|23 jaar</t>
  </si>
  <si>
    <t>Huwelijksduur per jaar|24 jaar</t>
  </si>
  <si>
    <t>Huwelijksduur per jaar|25 jaar</t>
  </si>
  <si>
    <t>Huwelijksduur per jaar|26 jaar</t>
  </si>
  <si>
    <t>Huwelijksduur per jaar|27 jaar</t>
  </si>
  <si>
    <t>Huwelijksduur per jaar|28 jaar</t>
  </si>
  <si>
    <t>Huwelijksduur per jaar|29 jaar</t>
  </si>
  <si>
    <t>Huwelijksduur per jaar|30 jaar</t>
  </si>
  <si>
    <t>Huwelijksduur per jaar|31 jaar</t>
  </si>
  <si>
    <t>Huwelijksduur per jaar|32 jaar</t>
  </si>
  <si>
    <t>Huwelijksduur per jaar|33 jaar</t>
  </si>
  <si>
    <t>Huwelijksduur per jaar|34 jaar</t>
  </si>
  <si>
    <t>Huwelijksduur per jaar|35 jaar</t>
  </si>
  <si>
    <t>Huwelijksduur per jaar|36 jaar</t>
  </si>
  <si>
    <t>Huwelijksduur per jaar|37 jaar</t>
  </si>
  <si>
    <t>Huwelijksduur per jaar|38 jaar</t>
  </si>
  <si>
    <t>Huwelijksduur per jaar|39 jaar</t>
  </si>
  <si>
    <t>Huwelijksduur per jaar|40 jaar</t>
  </si>
  <si>
    <t>Huwelijksduur per jaar|41 jaar</t>
  </si>
  <si>
    <t>Huwelijksduur per jaar|42 jaar</t>
  </si>
  <si>
    <t>Huwelijksduur per jaar|43 jaar</t>
  </si>
  <si>
    <t>Huwelijksduur per jaar|44 jaar</t>
  </si>
  <si>
    <t>Huwelijksduur per jaar|45 jaar</t>
  </si>
  <si>
    <t>Huwelijksduur per jaar|46 jaar</t>
  </si>
  <si>
    <t>Huwelijksduur per jaar|47 jaar</t>
  </si>
  <si>
    <t>Huwelijksduur per jaar|48 jaar</t>
  </si>
  <si>
    <t>Huwelijksduur per jaar|49 jaar</t>
  </si>
  <si>
    <t>Huwelijksduur per jaar|50 jaar</t>
  </si>
  <si>
    <t>Huwelijksduur per jaar|51 jaar</t>
  </si>
  <si>
    <t>Huwelijksduur per jaar|52 jaar</t>
  </si>
  <si>
    <t>Huwelijksduur per jaar|53 jaar</t>
  </si>
  <si>
    <t>Huwelijksduur per jaar|54 jaar</t>
  </si>
  <si>
    <t>Huwelijksduur per jaar|55 jaar</t>
  </si>
  <si>
    <t>Huwelijksduur per jaar|56 jaar</t>
  </si>
  <si>
    <t>Huwelijksduur per jaar|57 jaar</t>
  </si>
  <si>
    <t>Huwelijksduur per jaar|58 jaar</t>
  </si>
  <si>
    <t>Huwelijksduur per jaar|59 jaar</t>
  </si>
  <si>
    <t>Huwelijksduur per jaar|60 jaar</t>
  </si>
  <si>
    <t>Huwelijksduur per jaar|61 jaar</t>
  </si>
  <si>
    <t>Huwelijksduur per jaar|62 jaar</t>
  </si>
  <si>
    <t>Huwelijksduur per jaar|63 jaar</t>
  </si>
  <si>
    <t>Huwelijksduur per jaar|64 jaar</t>
  </si>
  <si>
    <t>Huwelijksduur per jaar|65 jaar</t>
  </si>
  <si>
    <t>Huwelijksduur per jaar|66 jaar</t>
  </si>
  <si>
    <t>Huwelijksduur per jaar|67 jaar</t>
  </si>
  <si>
    <t>Huwelijksduur per jaar|68 jaar</t>
  </si>
  <si>
    <t>Huwelijksduur per jaar|69 jaar</t>
  </si>
  <si>
    <t>Huwelijksduur per jaar|70 jaar</t>
  </si>
  <si>
    <t>Huwelijksduur per jaar|71 jaar of langer getrouwd</t>
  </si>
  <si>
    <t>Bron: CBS</t>
  </si>
  <si>
    <t>Reeks1: 86166</t>
  </si>
  <si>
    <t xml:space="preserve">Reeks 1: 87967 </t>
  </si>
  <si>
    <t>Reeks 1: 89744</t>
  </si>
  <si>
    <t>Reeks 1: 88080</t>
  </si>
  <si>
    <t>Reeks 1: 81113</t>
  </si>
  <si>
    <t>Reeks 1:84628</t>
  </si>
  <si>
    <t>Reeks 1: 80185</t>
  </si>
  <si>
    <t>Reeks 1:73750</t>
  </si>
  <si>
    <t>Reeks 1: 70805</t>
  </si>
  <si>
    <t>Reeks 1: 69713</t>
  </si>
  <si>
    <t>Reeks 1:70887</t>
  </si>
  <si>
    <t>Reeks1: 74851</t>
  </si>
  <si>
    <t>Reeks 1:73207</t>
  </si>
  <si>
    <t>Reeks 1: 72490</t>
  </si>
  <si>
    <t>Reeks 1: 68387</t>
  </si>
  <si>
    <t>Reeks 1: 67831</t>
  </si>
  <si>
    <t>Reeks 1: 61248</t>
  </si>
  <si>
    <t>Reeks 1: ?</t>
  </si>
  <si>
    <t>Gemiddelde nog getrouwde personen:</t>
  </si>
  <si>
    <t>Totale in jaren getrouwd: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</si>
</sst>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Huwelijksduratie</a:t>
            </a:r>
            <a:r>
              <a:rPr lang="nl-NL" baseline="0"/>
              <a:t> vanaf 1998</a:t>
            </a:r>
            <a:endParaRPr lang="nl-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Bestaande_huwelijken_naar_huwel!$C$11</c:f>
              <c:numCache>
                <c:formatCode>General</c:formatCode>
                <c:ptCount val="1"/>
                <c:pt idx="0">
                  <c:v>82266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6-4AB6-9F17-C4428B69D15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Bestaande_huwelijken_naar_huwel!$D$12</c:f>
              <c:numCache>
                <c:formatCode>General</c:formatCode>
                <c:ptCount val="1"/>
                <c:pt idx="0">
                  <c:v>85776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06-4AB6-9F17-C4428B69D157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Bestaande_huwelijken_naar_huwel!$E$13</c:f>
              <c:numCache>
                <c:formatCode>General</c:formatCode>
                <c:ptCount val="1"/>
                <c:pt idx="0">
                  <c:v>85386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06-4AB6-9F17-C4428B69D157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Bestaande_huwelijken_naar_huwel!$F$14</c:f>
              <c:numCache>
                <c:formatCode>General</c:formatCode>
                <c:ptCount val="1"/>
                <c:pt idx="0">
                  <c:v>83971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06-4AB6-9F17-C4428B69D15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Bestaande_huwelijken_naar_huwel!$G$15</c:f>
              <c:numCache>
                <c:formatCode>General</c:formatCode>
                <c:ptCount val="1"/>
                <c:pt idx="0">
                  <c:v>82004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06-4AB6-9F17-C4428B69D15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Bestaande_huwelijken_naar_huwel!$H$16</c:f>
              <c:numCache>
                <c:formatCode>General</c:formatCode>
                <c:ptCount val="1"/>
                <c:pt idx="0">
                  <c:v>79887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06-4AB6-9F17-C4428B69D15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Bestaande_huwelijken_naar_huwel!$I$17</c:f>
              <c:numCache>
                <c:formatCode>General</c:formatCode>
                <c:ptCount val="1"/>
                <c:pt idx="0">
                  <c:v>77895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06-4AB6-9F17-C4428B69D15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Bestaande_huwelijken_naar_huwel!$J$18</c:f>
              <c:numCache>
                <c:formatCode>General</c:formatCode>
                <c:ptCount val="1"/>
                <c:pt idx="0">
                  <c:v>75883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06-4AB6-9F17-C4428B69D15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Bestaande_huwelijken_naar_huwel!$K$19</c:f>
              <c:numCache>
                <c:formatCode>General</c:formatCode>
                <c:ptCount val="1"/>
                <c:pt idx="0">
                  <c:v>73884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06-4AB6-9F17-C4428B69D15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Bestaande_huwelijken_naar_huwel!$L$20</c:f>
              <c:numCache>
                <c:formatCode>General</c:formatCode>
                <c:ptCount val="1"/>
                <c:pt idx="0">
                  <c:v>71995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06-4AB6-9F17-C4428B69D15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Bestaande_huwelijken_naar_huwel!$M$21</c:f>
              <c:numCache>
                <c:formatCode>General</c:formatCode>
                <c:ptCount val="1"/>
                <c:pt idx="0">
                  <c:v>70258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06-4AB6-9F17-C4428B69D15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Bestaande_huwelijken_naar_huwel!$N$22</c:f>
              <c:numCache>
                <c:formatCode>General</c:formatCode>
                <c:ptCount val="1"/>
                <c:pt idx="0">
                  <c:v>68675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06-4AB6-9F17-C4428B69D15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Bestaande_huwelijken_naar_huwel!$O$23</c:f>
              <c:numCache>
                <c:formatCode>General</c:formatCode>
                <c:ptCount val="1"/>
                <c:pt idx="0">
                  <c:v>67445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06-4AB6-9F17-C4428B69D157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Bestaande_huwelijken_naar_huwel!$P$24</c:f>
              <c:numCache>
                <c:formatCode>General</c:formatCode>
                <c:ptCount val="1"/>
                <c:pt idx="0">
                  <c:v>66125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06-4AB6-9F17-C4428B69D157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Bestaande_huwelijken_naar_huwel!$Q$25</c:f>
              <c:numCache>
                <c:formatCode>General</c:formatCode>
                <c:ptCount val="1"/>
                <c:pt idx="0">
                  <c:v>64849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06-4AB6-9F17-C4428B69D157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Bestaande_huwelijken_naar_huwel!$R$26</c:f>
              <c:numCache>
                <c:formatCode>General</c:formatCode>
                <c:ptCount val="1"/>
                <c:pt idx="0">
                  <c:v>63547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06-4AB6-9F17-C4428B69D157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Bestaande_huwelijken_naar_huwel!$S$27</c:f>
              <c:numCache>
                <c:formatCode>General</c:formatCode>
                <c:ptCount val="1"/>
                <c:pt idx="0">
                  <c:v>62306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06-4AB6-9F17-C4428B69D157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Bestaande_huwelijken_naar_huwel!$T$28</c:f>
              <c:numCache>
                <c:formatCode>General</c:formatCode>
                <c:ptCount val="1"/>
                <c:pt idx="0">
                  <c:v>61021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06-4AB6-9F17-C4428B69D157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Bestaande_huwelijken_naar_huwel!$U$29</c:f>
              <c:numCache>
                <c:formatCode>General</c:formatCode>
                <c:ptCount val="1"/>
                <c:pt idx="0">
                  <c:v>59882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06-4AB6-9F17-C4428B69D157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Bestaande_huwelijken_naar_huwel!$V$30</c:f>
              <c:numCache>
                <c:formatCode>General</c:formatCode>
                <c:ptCount val="1"/>
                <c:pt idx="0">
                  <c:v>58861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06-4AB6-9F17-C4428B69D157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Bestaande_huwelijken_naar_huwel!$W$31</c:f>
              <c:numCache>
                <c:formatCode>General</c:formatCode>
                <c:ptCount val="1"/>
                <c:pt idx="0">
                  <c:v>57928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06-4AB6-9F17-C4428B69D157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Bestaande_huwelijken_naar_huwel!$C$4:$X$4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Bestaande_huwelijken_naar_huwel!$X$32</c:f>
              <c:numCache>
                <c:formatCode>General</c:formatCode>
                <c:ptCount val="1"/>
                <c:pt idx="0">
                  <c:v>56958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06-4AB6-9F17-C4428B69D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0210336"/>
        <c:axId val="1709319360"/>
      </c:barChart>
      <c:catAx>
        <c:axId val="177021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709319360"/>
        <c:crosses val="autoZero"/>
        <c:auto val="1"/>
        <c:lblAlgn val="ctr"/>
        <c:lblOffset val="100"/>
        <c:noMultiLvlLbl val="0"/>
      </c:catAx>
      <c:valAx>
        <c:axId val="17093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77021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1999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Bestaande_huwelijken_naar_huwel!$D$11</c:f>
              <c:numCache>
                <c:formatCode>General</c:formatCode>
                <c:ptCount val="1"/>
                <c:pt idx="0">
                  <c:v>84319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46-46EE-89E2-992C49BA711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Bestaande_huwelijken_naar_huwel!$E$12</c:f>
              <c:numCache>
                <c:formatCode>General</c:formatCode>
                <c:ptCount val="1"/>
                <c:pt idx="0">
                  <c:v>87424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46-46EE-89E2-992C49BA711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Bestaande_huwelijken_naar_huwel!$F$13</c:f>
              <c:numCache>
                <c:formatCode>General</c:formatCode>
                <c:ptCount val="1"/>
                <c:pt idx="0">
                  <c:v>86881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46-46EE-89E2-992C49BA7113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Bestaande_huwelijken_naar_huwel!$G$14</c:f>
              <c:numCache>
                <c:formatCode>General</c:formatCode>
                <c:ptCount val="1"/>
                <c:pt idx="0">
                  <c:v>85164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46-46EE-89E2-992C49BA711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Bestaande_huwelijken_naar_huwel!$H$15</c:f>
              <c:numCache>
                <c:formatCode>General</c:formatCode>
                <c:ptCount val="1"/>
                <c:pt idx="0">
                  <c:v>82885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46-46EE-89E2-992C49BA7113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Bestaande_huwelijken_naar_huwel!$I$16</c:f>
              <c:numCache>
                <c:formatCode>General</c:formatCode>
                <c:ptCount val="1"/>
                <c:pt idx="0">
                  <c:v>80573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46-46EE-89E2-992C49BA7113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Bestaande_huwelijken_naar_huwel!$J$17</c:f>
              <c:numCache>
                <c:formatCode>General</c:formatCode>
                <c:ptCount val="1"/>
                <c:pt idx="0">
                  <c:v>78402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46-46EE-89E2-992C49BA7113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Bestaande_huwelijken_naar_huwel!$K$18</c:f>
              <c:numCache>
                <c:formatCode>General</c:formatCode>
                <c:ptCount val="1"/>
                <c:pt idx="0">
                  <c:v>76239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C46-46EE-89E2-992C49BA7113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Bestaande_huwelijken_naar_huwel!$L$19</c:f>
              <c:numCache>
                <c:formatCode>General</c:formatCode>
                <c:ptCount val="1"/>
                <c:pt idx="0">
                  <c:v>74184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46-46EE-89E2-992C49BA7113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Bestaande_huwelijken_naar_huwel!$M$20</c:f>
              <c:numCache>
                <c:formatCode>General</c:formatCode>
                <c:ptCount val="1"/>
                <c:pt idx="0">
                  <c:v>72361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46-46EE-89E2-992C49BA7113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Bestaande_huwelijken_naar_huwel!$N$21</c:f>
              <c:numCache>
                <c:formatCode>General</c:formatCode>
                <c:ptCount val="1"/>
                <c:pt idx="0">
                  <c:v>70651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C46-46EE-89E2-992C49BA7113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Bestaande_huwelijken_naar_huwel!$O$22</c:f>
              <c:numCache>
                <c:formatCode>General</c:formatCode>
                <c:ptCount val="1"/>
                <c:pt idx="0">
                  <c:v>69226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46-46EE-89E2-992C49BA7113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Bestaande_huwelijken_naar_huwel!$P$23</c:f>
              <c:numCache>
                <c:formatCode>General</c:formatCode>
                <c:ptCount val="1"/>
                <c:pt idx="0">
                  <c:v>67870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C46-46EE-89E2-992C49BA7113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Bestaande_huwelijken_naar_huwel!$Q$24</c:f>
              <c:numCache>
                <c:formatCode>General</c:formatCode>
                <c:ptCount val="1"/>
                <c:pt idx="0">
                  <c:v>66597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C46-46EE-89E2-992C49BA7113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Bestaande_huwelijken_naar_huwel!$R$25</c:f>
              <c:numCache>
                <c:formatCode>General</c:formatCode>
                <c:ptCount val="1"/>
                <c:pt idx="0">
                  <c:v>65278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C46-46EE-89E2-992C49BA7113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Bestaande_huwelijken_naar_huwel!$S$26</c:f>
              <c:numCache>
                <c:formatCode>General</c:formatCode>
                <c:ptCount val="1"/>
                <c:pt idx="0">
                  <c:v>64018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46-46EE-89E2-992C49BA7113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Bestaande_huwelijken_naar_huwel!$T$27</c:f>
              <c:numCache>
                <c:formatCode>General</c:formatCode>
                <c:ptCount val="1"/>
                <c:pt idx="0">
                  <c:v>62665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46-46EE-89E2-992C49BA7113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Bestaande_huwelijken_naar_huwel!$U$28</c:f>
              <c:numCache>
                <c:formatCode>General</c:formatCode>
                <c:ptCount val="1"/>
                <c:pt idx="0">
                  <c:v>61513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C46-46EE-89E2-992C49BA7113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Bestaande_huwelijken_naar_huwel!$V$29</c:f>
              <c:numCache>
                <c:formatCode>General</c:formatCode>
                <c:ptCount val="1"/>
                <c:pt idx="0">
                  <c:v>60378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C46-46EE-89E2-992C49BA7113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Bestaande_huwelijken_naar_huwel!$W$30</c:f>
              <c:numCache>
                <c:formatCode>General</c:formatCode>
                <c:ptCount val="1"/>
                <c:pt idx="0">
                  <c:v>59321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C46-46EE-89E2-992C49BA7113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Bestaande_huwelijken_naar_huwel!$X$31</c:f>
              <c:numCache>
                <c:formatCode>General</c:formatCode>
                <c:ptCount val="1"/>
                <c:pt idx="0">
                  <c:v>58317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C46-46EE-89E2-992C49BA7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0381488"/>
        <c:axId val="1874052144"/>
      </c:barChart>
      <c:catAx>
        <c:axId val="1880381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874052144"/>
        <c:crosses val="autoZero"/>
        <c:auto val="1"/>
        <c:lblAlgn val="ctr"/>
        <c:lblOffset val="100"/>
        <c:noMultiLvlLbl val="0"/>
      </c:catAx>
      <c:valAx>
        <c:axId val="187405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88038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Bestaande_huwelijken_naar_huwel!$E$11</c:f>
              <c:numCache>
                <c:formatCode>General</c:formatCode>
                <c:ptCount val="1"/>
                <c:pt idx="0">
                  <c:v>85395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98-47C9-9162-9C895DA36FA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Bestaande_huwelijken_naar_huwel!$F$12</c:f>
              <c:numCache>
                <c:formatCode>General</c:formatCode>
                <c:ptCount val="1"/>
                <c:pt idx="0">
                  <c:v>88927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98-47C9-9162-9C895DA36FA7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Bestaande_huwelijken_naar_huwel!$G$13</c:f>
              <c:numCache>
                <c:formatCode>General</c:formatCode>
                <c:ptCount val="1"/>
                <c:pt idx="0">
                  <c:v>88110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98-47C9-9162-9C895DA36FA7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Bestaande_huwelijken_naar_huwel!$H$14</c:f>
              <c:numCache>
                <c:formatCode>General</c:formatCode>
                <c:ptCount val="1"/>
                <c:pt idx="0">
                  <c:v>86267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98-47C9-9162-9C895DA36FA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Bestaande_huwelijken_naar_huwel!$I$15</c:f>
              <c:numCache>
                <c:formatCode>General</c:formatCode>
                <c:ptCount val="1"/>
                <c:pt idx="0">
                  <c:v>84005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98-47C9-9162-9C895DA36FA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Bestaande_huwelijken_naar_huwel!$J$16</c:f>
              <c:numCache>
                <c:formatCode>General</c:formatCode>
                <c:ptCount val="1"/>
                <c:pt idx="0">
                  <c:v>81704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98-47C9-9162-9C895DA36FA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Bestaande_huwelijken_naar_huwel!$K$17</c:f>
              <c:numCache>
                <c:formatCode>General</c:formatCode>
                <c:ptCount val="1"/>
                <c:pt idx="0">
                  <c:v>79324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98-47C9-9162-9C895DA36FA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Bestaande_huwelijken_naar_huwel!$L$18</c:f>
              <c:numCache>
                <c:formatCode>General</c:formatCode>
                <c:ptCount val="1"/>
                <c:pt idx="0">
                  <c:v>77162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98-47C9-9162-9C895DA36FA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Bestaande_huwelijken_naar_huwel!$M$19</c:f>
              <c:numCache>
                <c:formatCode>General</c:formatCode>
                <c:ptCount val="1"/>
                <c:pt idx="0">
                  <c:v>75122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98-47C9-9162-9C895DA36FA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Bestaande_huwelijken_naar_huwel!$N$20</c:f>
              <c:numCache>
                <c:formatCode>General</c:formatCode>
                <c:ptCount val="1"/>
                <c:pt idx="0">
                  <c:v>73263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98-47C9-9162-9C895DA36FA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Bestaande_huwelijken_naar_huwel!$O$21</c:f>
              <c:numCache>
                <c:formatCode>General</c:formatCode>
                <c:ptCount val="1"/>
                <c:pt idx="0">
                  <c:v>71708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98-47C9-9162-9C895DA36FA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Bestaande_huwelijken_naar_huwel!$P$22</c:f>
              <c:numCache>
                <c:formatCode>General</c:formatCode>
                <c:ptCount val="1"/>
                <c:pt idx="0">
                  <c:v>70272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98-47C9-9162-9C895DA36FA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Bestaande_huwelijken_naar_huwel!$Q$23</c:f>
              <c:numCache>
                <c:formatCode>General</c:formatCode>
                <c:ptCount val="1"/>
                <c:pt idx="0">
                  <c:v>68785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98-47C9-9162-9C895DA36FA7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Bestaande_huwelijken_naar_huwel!$R$24</c:f>
              <c:numCache>
                <c:formatCode>General</c:formatCode>
                <c:ptCount val="1"/>
                <c:pt idx="0">
                  <c:v>67309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98-47C9-9162-9C895DA36FA7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Bestaande_huwelijken_naar_huwel!$S$25</c:f>
              <c:numCache>
                <c:formatCode>General</c:formatCode>
                <c:ptCount val="1"/>
                <c:pt idx="0">
                  <c:v>65885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98-47C9-9162-9C895DA36FA7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Bestaande_huwelijken_naar_huwel!$T$26</c:f>
              <c:numCache>
                <c:formatCode>General</c:formatCode>
                <c:ptCount val="1"/>
                <c:pt idx="0">
                  <c:v>64519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98-47C9-9162-9C895DA36FA7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Bestaande_huwelijken_naar_huwel!$U$27</c:f>
              <c:numCache>
                <c:formatCode>General</c:formatCode>
                <c:ptCount val="1"/>
                <c:pt idx="0">
                  <c:v>63362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098-47C9-9162-9C895DA36FA7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Bestaande_huwelijken_naar_huwel!$V$28</c:f>
              <c:numCache>
                <c:formatCode>General</c:formatCode>
                <c:ptCount val="1"/>
                <c:pt idx="0">
                  <c:v>62180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098-47C9-9162-9C895DA36FA7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Bestaande_huwelijken_naar_huwel!$W$29</c:f>
              <c:numCache>
                <c:formatCode>General</c:formatCode>
                <c:ptCount val="1"/>
                <c:pt idx="0">
                  <c:v>61087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098-47C9-9162-9C895DA36FA7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Bestaande_huwelijken_naar_huwel!$X$30</c:f>
              <c:numCache>
                <c:formatCode>General</c:formatCode>
                <c:ptCount val="1"/>
                <c:pt idx="0">
                  <c:v>59952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098-47C9-9162-9C895DA36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8027808"/>
        <c:axId val="1519716080"/>
      </c:barChart>
      <c:catAx>
        <c:axId val="16280278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9716080"/>
        <c:crosses val="autoZero"/>
        <c:auto val="1"/>
        <c:lblAlgn val="ctr"/>
        <c:lblOffset val="100"/>
        <c:noMultiLvlLbl val="0"/>
      </c:catAx>
      <c:valAx>
        <c:axId val="151971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62802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2001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Bestaande_huwelijken_naar_huwel!$F$11</c:f>
              <c:numCache>
                <c:formatCode>General</c:formatCode>
                <c:ptCount val="1"/>
                <c:pt idx="0">
                  <c:v>83523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7-4998-884D-E814B6A2A97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Bestaande_huwelijken_naar_huwel!$G$12</c:f>
              <c:numCache>
                <c:formatCode>General</c:formatCode>
                <c:ptCount val="1"/>
                <c:pt idx="0">
                  <c:v>87557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27-4998-884D-E814B6A2A97D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Bestaande_huwelijken_naar_huwel!$H$13</c:f>
              <c:numCache>
                <c:formatCode>General</c:formatCode>
                <c:ptCount val="1"/>
                <c:pt idx="0">
                  <c:v>87025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27-4998-884D-E814B6A2A97D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Bestaande_huwelijken_naar_huwel!$I$14</c:f>
              <c:numCache>
                <c:formatCode>General</c:formatCode>
                <c:ptCount val="1"/>
                <c:pt idx="0">
                  <c:v>85370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27-4998-884D-E814B6A2A97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Bestaande_huwelijken_naar_huwel!$J$15</c:f>
              <c:numCache>
                <c:formatCode>General</c:formatCode>
                <c:ptCount val="1"/>
                <c:pt idx="0">
                  <c:v>83077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27-4998-884D-E814B6A2A97D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Bestaande_huwelijken_naar_huwel!$K$16</c:f>
              <c:numCache>
                <c:formatCode>General</c:formatCode>
                <c:ptCount val="1"/>
                <c:pt idx="0">
                  <c:v>80614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27-4998-884D-E814B6A2A9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Bestaande_huwelijken_naar_huwel!$L$17</c:f>
              <c:numCache>
                <c:formatCode>General</c:formatCode>
                <c:ptCount val="1"/>
                <c:pt idx="0">
                  <c:v>78268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27-4998-884D-E814B6A2A9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Bestaande_huwelijken_naar_huwel!$M$18</c:f>
              <c:numCache>
                <c:formatCode>General</c:formatCode>
                <c:ptCount val="1"/>
                <c:pt idx="0">
                  <c:v>76198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27-4998-884D-E814B6A2A9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Bestaande_huwelijken_naar_huwel!$N$19</c:f>
              <c:numCache>
                <c:formatCode>General</c:formatCode>
                <c:ptCount val="1"/>
                <c:pt idx="0">
                  <c:v>74255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27-4998-884D-E814B6A2A9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Bestaande_huwelijken_naar_huwel!$O$20</c:f>
              <c:numCache>
                <c:formatCode>General</c:formatCode>
                <c:ptCount val="1"/>
                <c:pt idx="0">
                  <c:v>72594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B27-4998-884D-E814B6A2A9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Bestaande_huwelijken_naar_huwel!$P$21</c:f>
              <c:numCache>
                <c:formatCode>General</c:formatCode>
                <c:ptCount val="1"/>
                <c:pt idx="0">
                  <c:v>71045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27-4998-884D-E814B6A2A9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Bestaande_huwelijken_naar_huwel!$Q$22</c:f>
              <c:numCache>
                <c:formatCode>General</c:formatCode>
                <c:ptCount val="1"/>
                <c:pt idx="0">
                  <c:v>69545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B27-4998-884D-E814B6A2A9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Bestaande_huwelijken_naar_huwel!$R$23</c:f>
              <c:numCache>
                <c:formatCode>General</c:formatCode>
                <c:ptCount val="1"/>
                <c:pt idx="0">
                  <c:v>68055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B27-4998-884D-E814B6A2A97D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Bestaande_huwelijken_naar_huwel!$S$24</c:f>
              <c:numCache>
                <c:formatCode>General</c:formatCode>
                <c:ptCount val="1"/>
                <c:pt idx="0">
                  <c:v>66592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B27-4998-884D-E814B6A2A97D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Bestaande_huwelijken_naar_huwel!$T$25</c:f>
              <c:numCache>
                <c:formatCode>General</c:formatCode>
                <c:ptCount val="1"/>
                <c:pt idx="0">
                  <c:v>65225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B27-4998-884D-E814B6A2A97D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Bestaande_huwelijken_naar_huwel!$U$26</c:f>
              <c:numCache>
                <c:formatCode>General</c:formatCode>
                <c:ptCount val="1"/>
                <c:pt idx="0">
                  <c:v>63969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B27-4998-884D-E814B6A2A97D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Bestaande_huwelijken_naar_huwel!$V$27</c:f>
              <c:numCache>
                <c:formatCode>General</c:formatCode>
                <c:ptCount val="1"/>
                <c:pt idx="0">
                  <c:v>62806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B27-4998-884D-E814B6A2A97D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Bestaande_huwelijken_naar_huwel!$W$28</c:f>
              <c:numCache>
                <c:formatCode>General</c:formatCode>
                <c:ptCount val="1"/>
                <c:pt idx="0">
                  <c:v>61686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B27-4998-884D-E814B6A2A97D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Bestaande_huwelijken_naar_huwel!$X$29</c:f>
              <c:numCache>
                <c:formatCode>General</c:formatCode>
                <c:ptCount val="1"/>
                <c:pt idx="0">
                  <c:v>60569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B27-4998-884D-E814B6A2A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0865488"/>
        <c:axId val="1519711920"/>
      </c:barChart>
      <c:catAx>
        <c:axId val="1950865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9711920"/>
        <c:crosses val="autoZero"/>
        <c:auto val="1"/>
        <c:lblAlgn val="ctr"/>
        <c:lblOffset val="100"/>
        <c:noMultiLvlLbl val="0"/>
      </c:catAx>
      <c:valAx>
        <c:axId val="1519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5086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Bestaande_huwelijken_naar_huwel!$G$11</c:f>
              <c:numCache>
                <c:formatCode>General</c:formatCode>
                <c:ptCount val="1"/>
                <c:pt idx="0">
                  <c:v>76701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B-4CBA-A645-2C0F63FC05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Bestaande_huwelijken_naar_huwel!$H$12</c:f>
              <c:numCache>
                <c:formatCode>General</c:formatCode>
                <c:ptCount val="1"/>
                <c:pt idx="0">
                  <c:v>80702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0B-4CBA-A645-2C0F63FC05A8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Bestaande_huwelijken_naar_huwel!$I$13</c:f>
              <c:numCache>
                <c:formatCode>General</c:formatCode>
                <c:ptCount val="1"/>
                <c:pt idx="0">
                  <c:v>80291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0B-4CBA-A645-2C0F63FC05A8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Bestaande_huwelijken_naar_huwel!$J$14</c:f>
              <c:numCache>
                <c:formatCode>General</c:formatCode>
                <c:ptCount val="1"/>
                <c:pt idx="0">
                  <c:v>78634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0B-4CBA-A645-2C0F63FC05A8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Bestaande_huwelijken_naar_huwel!$K$15</c:f>
              <c:numCache>
                <c:formatCode>General</c:formatCode>
                <c:ptCount val="1"/>
                <c:pt idx="0">
                  <c:v>76555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B-4CBA-A645-2C0F63FC05A8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Bestaande_huwelijken_naar_huwel!$L$16</c:f>
              <c:numCache>
                <c:formatCode>General</c:formatCode>
                <c:ptCount val="1"/>
                <c:pt idx="0">
                  <c:v>74382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0B-4CBA-A645-2C0F63FC05A8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Bestaande_huwelijken_naar_huwel!$M$17</c:f>
              <c:numCache>
                <c:formatCode>General</c:formatCode>
                <c:ptCount val="1"/>
                <c:pt idx="0">
                  <c:v>72244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0B-4CBA-A645-2C0F63FC05A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Bestaande_huwelijken_naar_huwel!$N$18</c:f>
              <c:numCache>
                <c:formatCode>General</c:formatCode>
                <c:ptCount val="1"/>
                <c:pt idx="0">
                  <c:v>70313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90B-4CBA-A645-2C0F63FC05A8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Bestaande_huwelijken_naar_huwel!$O$19</c:f>
              <c:numCache>
                <c:formatCode>General</c:formatCode>
                <c:ptCount val="1"/>
                <c:pt idx="0">
                  <c:v>68629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90B-4CBA-A645-2C0F63FC05A8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Bestaande_huwelijken_naar_huwel!$P$20</c:f>
              <c:numCache>
                <c:formatCode>General</c:formatCode>
                <c:ptCount val="1"/>
                <c:pt idx="0">
                  <c:v>67108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90B-4CBA-A645-2C0F63FC05A8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Bestaande_huwelijken_naar_huwel!$Q$21</c:f>
              <c:numCache>
                <c:formatCode>General</c:formatCode>
                <c:ptCount val="1"/>
                <c:pt idx="0">
                  <c:v>65544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90B-4CBA-A645-2C0F63FC05A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Bestaande_huwelijken_naar_huwel!$R$22</c:f>
              <c:numCache>
                <c:formatCode>General</c:formatCode>
                <c:ptCount val="1"/>
                <c:pt idx="0">
                  <c:v>63988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90B-4CBA-A645-2C0F63FC05A8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Bestaande_huwelijken_naar_huwel!$S$23</c:f>
              <c:numCache>
                <c:formatCode>General</c:formatCode>
                <c:ptCount val="1"/>
                <c:pt idx="0">
                  <c:v>62593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90B-4CBA-A645-2C0F63FC05A8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Bestaande_huwelijken_naar_huwel!$T$24</c:f>
              <c:numCache>
                <c:formatCode>General</c:formatCode>
                <c:ptCount val="1"/>
                <c:pt idx="0">
                  <c:v>61308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90B-4CBA-A645-2C0F63FC05A8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Bestaande_huwelijken_naar_huwel!$U$25</c:f>
              <c:numCache>
                <c:formatCode>General</c:formatCode>
                <c:ptCount val="1"/>
                <c:pt idx="0">
                  <c:v>60119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90B-4CBA-A645-2C0F63FC05A8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Bestaande_huwelijken_naar_huwel!$V$26</c:f>
              <c:numCache>
                <c:formatCode>General</c:formatCode>
                <c:ptCount val="1"/>
                <c:pt idx="0">
                  <c:v>59043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90B-4CBA-A645-2C0F63FC05A8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Bestaande_huwelijken_naar_huwel!$W$27</c:f>
              <c:numCache>
                <c:formatCode>General</c:formatCode>
                <c:ptCount val="1"/>
                <c:pt idx="0">
                  <c:v>58071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90B-4CBA-A645-2C0F63FC05A8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Bestaande_huwelijken_naar_huwel!$X$28</c:f>
              <c:numCache>
                <c:formatCode>General</c:formatCode>
                <c:ptCount val="1"/>
                <c:pt idx="0">
                  <c:v>57107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90B-4CBA-A645-2C0F63FC0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6558416"/>
        <c:axId val="1519704848"/>
      </c:barChart>
      <c:catAx>
        <c:axId val="1956558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9704848"/>
        <c:crosses val="autoZero"/>
        <c:auto val="1"/>
        <c:lblAlgn val="ctr"/>
        <c:lblOffset val="100"/>
        <c:noMultiLvlLbl val="0"/>
      </c:catAx>
      <c:valAx>
        <c:axId val="151970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5655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2003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Bestaande_huwelijken_naar_huwel!$H$11</c:f>
              <c:numCache>
                <c:formatCode>General</c:formatCode>
                <c:ptCount val="1"/>
                <c:pt idx="0">
                  <c:v>80087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CD-4D4F-BB08-EB7DC37F72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Bestaande_huwelijken_naar_huwel!$I$12</c:f>
              <c:numCache>
                <c:formatCode>General</c:formatCode>
                <c:ptCount val="1"/>
                <c:pt idx="0">
                  <c:v>83680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CD-4D4F-BB08-EB7DC37F7271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Bestaande_huwelijken_naar_huwel!$J$13</c:f>
              <c:numCache>
                <c:formatCode>General</c:formatCode>
                <c:ptCount val="1"/>
                <c:pt idx="0">
                  <c:v>82732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CD-4D4F-BB08-EB7DC37F7271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Bestaande_huwelijken_naar_huwel!$K$14</c:f>
              <c:numCache>
                <c:formatCode>General</c:formatCode>
                <c:ptCount val="1"/>
                <c:pt idx="0">
                  <c:v>80850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CD-4D4F-BB08-EB7DC37F7271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Bestaande_huwelijken_naar_huwel!$L$15</c:f>
              <c:numCache>
                <c:formatCode>General</c:formatCode>
                <c:ptCount val="1"/>
                <c:pt idx="0">
                  <c:v>78648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CD-4D4F-BB08-EB7DC37F7271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Bestaande_huwelijken_naar_huwel!$M$16</c:f>
              <c:numCache>
                <c:formatCode>General</c:formatCode>
                <c:ptCount val="1"/>
                <c:pt idx="0">
                  <c:v>76410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CD-4D4F-BB08-EB7DC37F7271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Bestaande_huwelijken_naar_huwel!$N$17</c:f>
              <c:numCache>
                <c:formatCode>General</c:formatCode>
                <c:ptCount val="1"/>
                <c:pt idx="0">
                  <c:v>74312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CD-4D4F-BB08-EB7DC37F7271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Bestaande_huwelijken_naar_huwel!$O$18</c:f>
              <c:numCache>
                <c:formatCode>General</c:formatCode>
                <c:ptCount val="1"/>
                <c:pt idx="0">
                  <c:v>72557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8CD-4D4F-BB08-EB7DC37F7271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Bestaande_huwelijken_naar_huwel!$P$19</c:f>
              <c:numCache>
                <c:formatCode>General</c:formatCode>
                <c:ptCount val="1"/>
                <c:pt idx="0">
                  <c:v>70889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8CD-4D4F-BB08-EB7DC37F7271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Bestaande_huwelijken_naar_huwel!$Q$20</c:f>
              <c:numCache>
                <c:formatCode>General</c:formatCode>
                <c:ptCount val="1"/>
                <c:pt idx="0">
                  <c:v>69142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8CD-4D4F-BB08-EB7DC37F7271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Bestaande_huwelijken_naar_huwel!$R$21</c:f>
              <c:numCache>
                <c:formatCode>General</c:formatCode>
                <c:ptCount val="1"/>
                <c:pt idx="0">
                  <c:v>67520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8CD-4D4F-BB08-EB7DC37F7271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Bestaande_huwelijken_naar_huwel!$S$22</c:f>
              <c:numCache>
                <c:formatCode>General</c:formatCode>
                <c:ptCount val="1"/>
                <c:pt idx="0">
                  <c:v>65945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8CD-4D4F-BB08-EB7DC37F7271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Bestaande_huwelijken_naar_huwel!$T$23</c:f>
              <c:numCache>
                <c:formatCode>General</c:formatCode>
                <c:ptCount val="1"/>
                <c:pt idx="0">
                  <c:v>64436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8CD-4D4F-BB08-EB7DC37F7271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Bestaande_huwelijken_naar_huwel!$U$24</c:f>
              <c:numCache>
                <c:formatCode>General</c:formatCode>
                <c:ptCount val="1"/>
                <c:pt idx="0">
                  <c:v>63181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8CD-4D4F-BB08-EB7DC37F7271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Bestaande_huwelijken_naar_huwel!$V$25</c:f>
              <c:numCache>
                <c:formatCode>General</c:formatCode>
                <c:ptCount val="1"/>
                <c:pt idx="0">
                  <c:v>62062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8CD-4D4F-BB08-EB7DC37F7271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Bestaande_huwelijken_naar_huwel!$W$26</c:f>
              <c:numCache>
                <c:formatCode>General</c:formatCode>
                <c:ptCount val="1"/>
                <c:pt idx="0">
                  <c:v>60905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8CD-4D4F-BB08-EB7DC37F7271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Bestaande_huwelijken_naar_huwel!$X$27</c:f>
              <c:numCache>
                <c:formatCode>General</c:formatCode>
                <c:ptCount val="1"/>
                <c:pt idx="0">
                  <c:v>59830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8CD-4D4F-BB08-EB7DC37F7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3752816"/>
        <c:axId val="1519726064"/>
      </c:barChart>
      <c:catAx>
        <c:axId val="1953752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9726064"/>
        <c:crosses val="autoZero"/>
        <c:auto val="1"/>
        <c:lblAlgn val="ctr"/>
        <c:lblOffset val="100"/>
        <c:noMultiLvlLbl val="0"/>
      </c:catAx>
      <c:valAx>
        <c:axId val="151972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5375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2004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Bestaande_huwelijken_naar_huwel!$I$11</c:f>
              <c:numCache>
                <c:formatCode>General</c:formatCode>
                <c:ptCount val="1"/>
                <c:pt idx="0">
                  <c:v>76473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8F-4A56-B2F7-7A34BC2DD78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Bestaande_huwelijken_naar_huwel!$J$12</c:f>
              <c:numCache>
                <c:formatCode>General</c:formatCode>
                <c:ptCount val="1"/>
                <c:pt idx="0">
                  <c:v>79155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8F-4A56-B2F7-7A34BC2DD78B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Bestaande_huwelijken_naar_huwel!$K$13</c:f>
              <c:numCache>
                <c:formatCode>General</c:formatCode>
                <c:ptCount val="1"/>
                <c:pt idx="0">
                  <c:v>78152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8F-4A56-B2F7-7A34BC2DD78B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Bestaande_huwelijken_naar_huwel!$L$14</c:f>
              <c:numCache>
                <c:formatCode>General</c:formatCode>
                <c:ptCount val="1"/>
                <c:pt idx="0">
                  <c:v>76413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8F-4A56-B2F7-7A34BC2DD78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Bestaande_huwelijken_naar_huwel!$M$15</c:f>
              <c:numCache>
                <c:formatCode>General</c:formatCode>
                <c:ptCount val="1"/>
                <c:pt idx="0">
                  <c:v>74447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8F-4A56-B2F7-7A34BC2DD78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Bestaande_huwelijken_naar_huwel!$N$16</c:f>
              <c:numCache>
                <c:formatCode>General</c:formatCode>
                <c:ptCount val="1"/>
                <c:pt idx="0">
                  <c:v>72529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8F-4A56-B2F7-7A34BC2DD78B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Bestaande_huwelijken_naar_huwel!$O$17</c:f>
              <c:numCache>
                <c:formatCode>General</c:formatCode>
                <c:ptCount val="1"/>
                <c:pt idx="0">
                  <c:v>70817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8F-4A56-B2F7-7A34BC2DD78B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Bestaande_huwelijken_naar_huwel!$P$18</c:f>
              <c:numCache>
                <c:formatCode>General</c:formatCode>
                <c:ptCount val="1"/>
                <c:pt idx="0">
                  <c:v>69077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E8F-4A56-B2F7-7A34BC2DD78B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Bestaande_huwelijken_naar_huwel!$Q$19</c:f>
              <c:numCache>
                <c:formatCode>General</c:formatCode>
                <c:ptCount val="1"/>
                <c:pt idx="0">
                  <c:v>67510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E8F-4A56-B2F7-7A34BC2DD78B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Bestaande_huwelijken_naar_huwel!$R$20</c:f>
              <c:numCache>
                <c:formatCode>General</c:formatCode>
                <c:ptCount val="1"/>
                <c:pt idx="0">
                  <c:v>65977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E8F-4A56-B2F7-7A34BC2DD78B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Bestaande_huwelijken_naar_huwel!$S$21</c:f>
              <c:numCache>
                <c:formatCode>General</c:formatCode>
                <c:ptCount val="1"/>
                <c:pt idx="0">
                  <c:v>64463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E8F-4A56-B2F7-7A34BC2DD78B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Bestaande_huwelijken_naar_huwel!$T$22</c:f>
              <c:numCache>
                <c:formatCode>General</c:formatCode>
                <c:ptCount val="1"/>
                <c:pt idx="0">
                  <c:v>62980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E8F-4A56-B2F7-7A34BC2DD78B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Bestaande_huwelijken_naar_huwel!$U$23</c:f>
              <c:numCache>
                <c:formatCode>General</c:formatCode>
                <c:ptCount val="1"/>
                <c:pt idx="0">
                  <c:v>61720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E8F-4A56-B2F7-7A34BC2DD78B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Bestaande_huwelijken_naar_huwel!$V$24</c:f>
              <c:numCache>
                <c:formatCode>General</c:formatCode>
                <c:ptCount val="1"/>
                <c:pt idx="0">
                  <c:v>60669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E8F-4A56-B2F7-7A34BC2DD78B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Bestaande_huwelijken_naar_huwel!$W$25</c:f>
              <c:numCache>
                <c:formatCode>General</c:formatCode>
                <c:ptCount val="1"/>
                <c:pt idx="0">
                  <c:v>59576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E8F-4A56-B2F7-7A34BC2DD78B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Bestaande_huwelijken_naar_huwel!$X$26</c:f>
              <c:numCache>
                <c:formatCode>General</c:formatCode>
                <c:ptCount val="1"/>
                <c:pt idx="0">
                  <c:v>58515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E8F-4A56-B2F7-7A34BC2DD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1827904"/>
        <c:axId val="1519706096"/>
      </c:barChart>
      <c:catAx>
        <c:axId val="1771827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9706096"/>
        <c:crosses val="autoZero"/>
        <c:auto val="1"/>
        <c:lblAlgn val="ctr"/>
        <c:lblOffset val="100"/>
        <c:noMultiLvlLbl val="0"/>
      </c:catAx>
      <c:valAx>
        <c:axId val="151970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77182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Bestaande_huwelijken_naar_huwel!$J$11</c:f>
              <c:numCache>
                <c:formatCode>General</c:formatCode>
                <c:ptCount val="1"/>
                <c:pt idx="0">
                  <c:v>70906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EA-43D3-B0D9-C43CF8B527F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Bestaande_huwelijken_naar_huwel!$K$12</c:f>
              <c:numCache>
                <c:formatCode>General</c:formatCode>
                <c:ptCount val="1"/>
                <c:pt idx="0">
                  <c:v>72901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EA-43D3-B0D9-C43CF8B527F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Bestaande_huwelijken_naar_huwel!$L$13</c:f>
              <c:numCache>
                <c:formatCode>General</c:formatCode>
                <c:ptCount val="1"/>
                <c:pt idx="0">
                  <c:v>72052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EA-43D3-B0D9-C43CF8B527F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Bestaande_huwelijken_naar_huwel!$M$14</c:f>
              <c:numCache>
                <c:formatCode>General</c:formatCode>
                <c:ptCount val="1"/>
                <c:pt idx="0">
                  <c:v>70650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EA-43D3-B0D9-C43CF8B527F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Bestaande_huwelijken_naar_huwel!$N$15</c:f>
              <c:numCache>
                <c:formatCode>General</c:formatCode>
                <c:ptCount val="1"/>
                <c:pt idx="0">
                  <c:v>69118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EA-43D3-B0D9-C43CF8B527FA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Bestaande_huwelijken_naar_huwel!$O$16</c:f>
              <c:numCache>
                <c:formatCode>General</c:formatCode>
                <c:ptCount val="1"/>
                <c:pt idx="0">
                  <c:v>67717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EA-43D3-B0D9-C43CF8B527FA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Bestaande_huwelijken_naar_huwel!$P$17</c:f>
              <c:numCache>
                <c:formatCode>General</c:formatCode>
                <c:ptCount val="1"/>
                <c:pt idx="0">
                  <c:v>66217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3EA-43D3-B0D9-C43CF8B527FA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Bestaande_huwelijken_naar_huwel!$Q$18</c:f>
              <c:numCache>
                <c:formatCode>General</c:formatCode>
                <c:ptCount val="1"/>
                <c:pt idx="0">
                  <c:v>64706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3EA-43D3-B0D9-C43CF8B527FA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Bestaande_huwelijken_naar_huwel!$R$19</c:f>
              <c:numCache>
                <c:formatCode>General</c:formatCode>
                <c:ptCount val="1"/>
                <c:pt idx="0">
                  <c:v>63141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EA-43D3-B0D9-C43CF8B527FA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Bestaande_huwelijken_naar_huwel!$S$20</c:f>
              <c:numCache>
                <c:formatCode>General</c:formatCode>
                <c:ptCount val="1"/>
                <c:pt idx="0">
                  <c:v>61645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3EA-43D3-B0D9-C43CF8B527FA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Bestaande_huwelijken_naar_huwel!$T$21</c:f>
              <c:numCache>
                <c:formatCode>General</c:formatCode>
                <c:ptCount val="1"/>
                <c:pt idx="0">
                  <c:v>60199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3EA-43D3-B0D9-C43CF8B527FA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Bestaande_huwelijken_naar_huwel!$U$22</c:f>
              <c:numCache>
                <c:formatCode>General</c:formatCode>
                <c:ptCount val="1"/>
                <c:pt idx="0">
                  <c:v>58939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3EA-43D3-B0D9-C43CF8B527FA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Bestaande_huwelijken_naar_huwel!$V$23</c:f>
              <c:numCache>
                <c:formatCode>General</c:formatCode>
                <c:ptCount val="1"/>
                <c:pt idx="0">
                  <c:v>57926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3EA-43D3-B0D9-C43CF8B527FA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Bestaande_huwelijken_naar_huwel!$W$24</c:f>
              <c:numCache>
                <c:formatCode>General</c:formatCode>
                <c:ptCount val="1"/>
                <c:pt idx="0">
                  <c:v>56936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3EA-43D3-B0D9-C43CF8B527FA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Bestaande_huwelijken_naar_huwel!$X$25</c:f>
              <c:numCache>
                <c:formatCode>General</c:formatCode>
                <c:ptCount val="1"/>
                <c:pt idx="0">
                  <c:v>55973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3EA-43D3-B0D9-C43CF8B52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4790240"/>
        <c:axId val="1783760288"/>
      </c:barChart>
      <c:catAx>
        <c:axId val="1704790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783760288"/>
        <c:crosses val="autoZero"/>
        <c:auto val="1"/>
        <c:lblAlgn val="ctr"/>
        <c:lblOffset val="100"/>
        <c:noMultiLvlLbl val="0"/>
      </c:catAx>
      <c:valAx>
        <c:axId val="178376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70479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Bestaande_huwelijken_naar_huwel!$K$11</c:f>
              <c:numCache>
                <c:formatCode>General</c:formatCode>
                <c:ptCount val="1"/>
                <c:pt idx="0">
                  <c:v>68719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A-49B2-8975-B06E915C702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Bestaande_huwelijken_naar_huwel!$L$12</c:f>
              <c:numCache>
                <c:formatCode>General</c:formatCode>
                <c:ptCount val="1"/>
                <c:pt idx="0">
                  <c:v>70019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A-49B2-8975-B06E915C7027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Bestaande_huwelijken_naar_huwel!$M$13</c:f>
              <c:numCache>
                <c:formatCode>General</c:formatCode>
                <c:ptCount val="1"/>
                <c:pt idx="0">
                  <c:v>69233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EA-49B2-8975-B06E915C7027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Bestaande_huwelijken_naar_huwel!$N$14</c:f>
              <c:numCache>
                <c:formatCode>General</c:formatCode>
                <c:ptCount val="1"/>
                <c:pt idx="0">
                  <c:v>68077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EA-49B2-8975-B06E915C702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Bestaande_huwelijken_naar_huwel!$O$15</c:f>
              <c:numCache>
                <c:formatCode>General</c:formatCode>
                <c:ptCount val="1"/>
                <c:pt idx="0">
                  <c:v>66819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EA-49B2-8975-B06E915C702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Bestaande_huwelijken_naar_huwel!$P$16</c:f>
              <c:numCache>
                <c:formatCode>General</c:formatCode>
                <c:ptCount val="1"/>
                <c:pt idx="0">
                  <c:v>65421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EA-49B2-8975-B06E915C702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Bestaande_huwelijken_naar_huwel!$Q$17</c:f>
              <c:numCache>
                <c:formatCode>General</c:formatCode>
                <c:ptCount val="1"/>
                <c:pt idx="0">
                  <c:v>63980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EA-49B2-8975-B06E915C702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Bestaande_huwelijken_naar_huwel!$R$18</c:f>
              <c:numCache>
                <c:formatCode>General</c:formatCode>
                <c:ptCount val="1"/>
                <c:pt idx="0">
                  <c:v>62491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EA-49B2-8975-B06E915C702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Bestaande_huwelijken_naar_huwel!$S$19</c:f>
              <c:numCache>
                <c:formatCode>General</c:formatCode>
                <c:ptCount val="1"/>
                <c:pt idx="0">
                  <c:v>61070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DEA-49B2-8975-B06E915C702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Bestaande_huwelijken_naar_huwel!$T$20</c:f>
              <c:numCache>
                <c:formatCode>General</c:formatCode>
                <c:ptCount val="1"/>
                <c:pt idx="0">
                  <c:v>59648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DEA-49B2-8975-B06E915C702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Bestaande_huwelijken_naar_huwel!$U$21</c:f>
              <c:numCache>
                <c:formatCode>General</c:formatCode>
                <c:ptCount val="1"/>
                <c:pt idx="0">
                  <c:v>58459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DEA-49B2-8975-B06E915C702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Bestaande_huwelijken_naar_huwel!$V$22</c:f>
              <c:numCache>
                <c:formatCode>General</c:formatCode>
                <c:ptCount val="1"/>
                <c:pt idx="0">
                  <c:v>57474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DEA-49B2-8975-B06E915C702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Bestaande_huwelijken_naar_huwel!$W$23</c:f>
              <c:numCache>
                <c:formatCode>General</c:formatCode>
                <c:ptCount val="1"/>
                <c:pt idx="0">
                  <c:v>56521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DEA-49B2-8975-B06E915C7027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Bestaande_huwelijken_naar_huwel!$X$24</c:f>
              <c:numCache>
                <c:formatCode>General</c:formatCode>
                <c:ptCount val="1"/>
                <c:pt idx="0">
                  <c:v>55564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DEA-49B2-8975-B06E915C7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8281728"/>
        <c:axId val="1947472464"/>
      </c:barChart>
      <c:catAx>
        <c:axId val="19582817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47472464"/>
        <c:crosses val="autoZero"/>
        <c:auto val="1"/>
        <c:lblAlgn val="ctr"/>
        <c:lblOffset val="100"/>
        <c:noMultiLvlLbl val="0"/>
      </c:catAx>
      <c:valAx>
        <c:axId val="194747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5828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Bestaande_huwelijken_naar_huwel!$L$11</c:f>
              <c:numCache>
                <c:formatCode>General</c:formatCode>
                <c:ptCount val="1"/>
                <c:pt idx="0">
                  <c:v>67941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DB-40D8-A8D2-A8A7E07161D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Bestaande_huwelijken_naar_huwel!$M$12</c:f>
              <c:numCache>
                <c:formatCode>General</c:formatCode>
                <c:ptCount val="1"/>
                <c:pt idx="0">
                  <c:v>69128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DB-40D8-A8D2-A8A7E07161D6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Bestaande_huwelijken_naar_huwel!$N$13</c:f>
              <c:numCache>
                <c:formatCode>General</c:formatCode>
                <c:ptCount val="1"/>
                <c:pt idx="0">
                  <c:v>68732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DB-40D8-A8D2-A8A7E07161D6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Bestaande_huwelijken_naar_huwel!$O$14</c:f>
              <c:numCache>
                <c:formatCode>General</c:formatCode>
                <c:ptCount val="1"/>
                <c:pt idx="0">
                  <c:v>67881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DB-40D8-A8D2-A8A7E07161D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Bestaande_huwelijken_naar_huwel!$P$15</c:f>
              <c:numCache>
                <c:formatCode>General</c:formatCode>
                <c:ptCount val="1"/>
                <c:pt idx="0">
                  <c:v>66628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DB-40D8-A8D2-A8A7E07161D6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Bestaande_huwelijken_naar_huwel!$Q$16</c:f>
              <c:numCache>
                <c:formatCode>General</c:formatCode>
                <c:ptCount val="1"/>
                <c:pt idx="0">
                  <c:v>65241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DB-40D8-A8D2-A8A7E07161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Bestaande_huwelijken_naar_huwel!$R$17</c:f>
              <c:numCache>
                <c:formatCode>General</c:formatCode>
                <c:ptCount val="1"/>
                <c:pt idx="0">
                  <c:v>63781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DB-40D8-A8D2-A8A7E07161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Bestaande_huwelijken_naar_huwel!$S$18</c:f>
              <c:numCache>
                <c:formatCode>General</c:formatCode>
                <c:ptCount val="1"/>
                <c:pt idx="0">
                  <c:v>62257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DB-40D8-A8D2-A8A7E07161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Bestaande_huwelijken_naar_huwel!$T$19</c:f>
              <c:numCache>
                <c:formatCode>General</c:formatCode>
                <c:ptCount val="1"/>
                <c:pt idx="0">
                  <c:v>60927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B-40D8-A8D2-A8A7E07161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Bestaande_huwelijken_naar_huwel!$U$20</c:f>
              <c:numCache>
                <c:formatCode>General</c:formatCode>
                <c:ptCount val="1"/>
                <c:pt idx="0">
                  <c:v>59655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DB-40D8-A8D2-A8A7E07161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Bestaande_huwelijken_naar_huwel!$V$21</c:f>
              <c:numCache>
                <c:formatCode>General</c:formatCode>
                <c:ptCount val="1"/>
                <c:pt idx="0">
                  <c:v>58583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DB-40D8-A8D2-A8A7E07161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Bestaande_huwelijken_naar_huwel!$W$22</c:f>
              <c:numCache>
                <c:formatCode>General</c:formatCode>
                <c:ptCount val="1"/>
                <c:pt idx="0">
                  <c:v>57572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BDB-40D8-A8D2-A8A7E07161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Bestaande_huwelijken_naar_huwel!$X$23</c:f>
              <c:numCache>
                <c:formatCode>General</c:formatCode>
                <c:ptCount val="1"/>
                <c:pt idx="0">
                  <c:v>56650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BDB-40D8-A8D2-A8A7E0716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71679024"/>
        <c:axId val="1713289744"/>
      </c:barChart>
      <c:catAx>
        <c:axId val="19716790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713289744"/>
        <c:crosses val="autoZero"/>
        <c:auto val="1"/>
        <c:lblAlgn val="ctr"/>
        <c:lblOffset val="100"/>
        <c:noMultiLvlLbl val="0"/>
      </c:catAx>
      <c:valAx>
        <c:axId val="171328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7167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Bestaande_huwelijken_naar_huwel!$M$11</c:f>
              <c:numCache>
                <c:formatCode>General</c:formatCode>
                <c:ptCount val="1"/>
                <c:pt idx="0">
                  <c:v>69045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A6-47FD-B472-A87A8291C36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Bestaande_huwelijken_naar_huwel!$N$12</c:f>
              <c:numCache>
                <c:formatCode>General</c:formatCode>
                <c:ptCount val="1"/>
                <c:pt idx="0">
                  <c:v>70770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A6-47FD-B472-A87A8291C36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Bestaande_huwelijken_naar_huwel!$O$13</c:f>
              <c:numCache>
                <c:formatCode>General</c:formatCode>
                <c:ptCount val="1"/>
                <c:pt idx="0">
                  <c:v>70653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A6-47FD-B472-A87A8291C360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Bestaande_huwelijken_naar_huwel!$P$14</c:f>
              <c:numCache>
                <c:formatCode>General</c:formatCode>
                <c:ptCount val="1"/>
                <c:pt idx="0">
                  <c:v>69583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A6-47FD-B472-A87A8291C360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Bestaande_huwelijken_naar_huwel!$Q$15</c:f>
              <c:numCache>
                <c:formatCode>General</c:formatCode>
                <c:ptCount val="1"/>
                <c:pt idx="0">
                  <c:v>68436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A6-47FD-B472-A87A8291C360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Bestaande_huwelijken_naar_huwel!$R$16</c:f>
              <c:numCache>
                <c:formatCode>General</c:formatCode>
                <c:ptCount val="1"/>
                <c:pt idx="0">
                  <c:v>66979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A6-47FD-B472-A87A8291C36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Bestaande_huwelijken_naar_huwel!$S$17</c:f>
              <c:numCache>
                <c:formatCode>General</c:formatCode>
                <c:ptCount val="1"/>
                <c:pt idx="0">
                  <c:v>65537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3A6-47FD-B472-A87A8291C36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Bestaande_huwelijken_naar_huwel!$T$18</c:f>
              <c:numCache>
                <c:formatCode>General</c:formatCode>
                <c:ptCount val="1"/>
                <c:pt idx="0">
                  <c:v>63977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3A6-47FD-B472-A87A8291C36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Bestaande_huwelijken_naar_huwel!$U$19</c:f>
              <c:numCache>
                <c:formatCode>General</c:formatCode>
                <c:ptCount val="1"/>
                <c:pt idx="0">
                  <c:v>62731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3A6-47FD-B472-A87A8291C36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Bestaande_huwelijken_naar_huwel!$V$20</c:f>
              <c:numCache>
                <c:formatCode>General</c:formatCode>
                <c:ptCount val="1"/>
                <c:pt idx="0">
                  <c:v>61704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3A6-47FD-B472-A87A8291C36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Bestaande_huwelijken_naar_huwel!$W$21</c:f>
              <c:numCache>
                <c:formatCode>General</c:formatCode>
                <c:ptCount val="1"/>
                <c:pt idx="0">
                  <c:v>60656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3A6-47FD-B472-A87A8291C36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Bestaande_huwelijken_naar_huwel!$X$22</c:f>
              <c:numCache>
                <c:formatCode>General</c:formatCode>
                <c:ptCount val="1"/>
                <c:pt idx="0">
                  <c:v>59588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3A6-47FD-B472-A87A8291C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8343296"/>
        <c:axId val="1709267776"/>
      </c:barChart>
      <c:catAx>
        <c:axId val="1968343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709267776"/>
        <c:crosses val="autoZero"/>
        <c:auto val="1"/>
        <c:lblAlgn val="ctr"/>
        <c:lblOffset val="100"/>
        <c:noMultiLvlLbl val="0"/>
      </c:catAx>
      <c:valAx>
        <c:axId val="17092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6834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2009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Bestaande_huwelijken_naar_huwel!$N$11</c:f>
              <c:numCache>
                <c:formatCode>General</c:formatCode>
                <c:ptCount val="1"/>
                <c:pt idx="0">
                  <c:v>72237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9D-400A-B316-33B229A09E5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Bestaande_huwelijken_naar_huwel!$O$12</c:f>
              <c:numCache>
                <c:formatCode>General</c:formatCode>
                <c:ptCount val="1"/>
                <c:pt idx="0">
                  <c:v>74442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9D-400A-B316-33B229A09E55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Bestaande_huwelijken_naar_huwel!$P$13</c:f>
              <c:numCache>
                <c:formatCode>General</c:formatCode>
                <c:ptCount val="1"/>
                <c:pt idx="0">
                  <c:v>74033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9D-400A-B316-33B229A09E55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Bestaande_huwelijken_naar_huwel!$Q$14</c:f>
              <c:numCache>
                <c:formatCode>General</c:formatCode>
                <c:ptCount val="1"/>
                <c:pt idx="0">
                  <c:v>73115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9D-400A-B316-33B229A09E5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Bestaande_huwelijken_naar_huwel!$R$15</c:f>
              <c:numCache>
                <c:formatCode>General</c:formatCode>
                <c:ptCount val="1"/>
                <c:pt idx="0">
                  <c:v>71587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9D-400A-B316-33B229A09E55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Bestaande_huwelijken_naar_huwel!$S$16</c:f>
              <c:numCache>
                <c:formatCode>General</c:formatCode>
                <c:ptCount val="1"/>
                <c:pt idx="0">
                  <c:v>69895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9D-400A-B316-33B229A09E55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Bestaande_huwelijken_naar_huwel!$T$17</c:f>
              <c:numCache>
                <c:formatCode>General</c:formatCode>
                <c:ptCount val="1"/>
                <c:pt idx="0">
                  <c:v>68288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9D-400A-B316-33B229A09E55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Bestaande_huwelijken_naar_huwel!$U$18</c:f>
              <c:numCache>
                <c:formatCode>General</c:formatCode>
                <c:ptCount val="1"/>
                <c:pt idx="0">
                  <c:v>66876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9D-400A-B316-33B229A09E55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Bestaande_huwelijken_naar_huwel!$V$19</c:f>
              <c:numCache>
                <c:formatCode>General</c:formatCode>
                <c:ptCount val="1"/>
                <c:pt idx="0">
                  <c:v>65702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9D-400A-B316-33B229A09E55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Bestaande_huwelijken_naar_huwel!$W$20</c:f>
              <c:numCache>
                <c:formatCode>General</c:formatCode>
                <c:ptCount val="1"/>
                <c:pt idx="0">
                  <c:v>64543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49D-400A-B316-33B229A09E55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Bestaande_huwelijken_naar_huwel!$X$21</c:f>
              <c:numCache>
                <c:formatCode>General</c:formatCode>
                <c:ptCount val="1"/>
                <c:pt idx="0">
                  <c:v>63428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49D-400A-B316-33B229A09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71375568"/>
        <c:axId val="1519729392"/>
      </c:barChart>
      <c:catAx>
        <c:axId val="19713755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9729392"/>
        <c:crosses val="autoZero"/>
        <c:auto val="1"/>
        <c:lblAlgn val="ctr"/>
        <c:lblOffset val="100"/>
        <c:noMultiLvlLbl val="0"/>
      </c:catAx>
      <c:valAx>
        <c:axId val="15197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7137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Bestaande_huwelijken_naar_huwel!$O$11</c:f>
              <c:numCache>
                <c:formatCode>General</c:formatCode>
                <c:ptCount val="1"/>
                <c:pt idx="0">
                  <c:v>71047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A-460B-9E82-F29C71C0504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Bestaande_huwelijken_naar_huwel!$P$12</c:f>
              <c:numCache>
                <c:formatCode>General</c:formatCode>
                <c:ptCount val="1"/>
                <c:pt idx="0">
                  <c:v>72861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1A-460B-9E82-F29C71C05045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Bestaande_huwelijken_naar_huwel!$Q$13</c:f>
              <c:numCache>
                <c:formatCode>General</c:formatCode>
                <c:ptCount val="1"/>
                <c:pt idx="0">
                  <c:v>72515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A-460B-9E82-F29C71C05045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Bestaande_huwelijken_naar_huwel!$R$14</c:f>
              <c:numCache>
                <c:formatCode>General</c:formatCode>
                <c:ptCount val="1"/>
                <c:pt idx="0">
                  <c:v>71266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1A-460B-9E82-F29C71C0504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Bestaande_huwelijken_naar_huwel!$S$15</c:f>
              <c:numCache>
                <c:formatCode>General</c:formatCode>
                <c:ptCount val="1"/>
                <c:pt idx="0">
                  <c:v>69760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1A-460B-9E82-F29C71C05045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Bestaande_huwelijken_naar_huwel!$T$16</c:f>
              <c:numCache>
                <c:formatCode>General</c:formatCode>
                <c:ptCount val="1"/>
                <c:pt idx="0">
                  <c:v>68303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1A-460B-9E82-F29C71C05045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Bestaande_huwelijken_naar_huwel!$U$17</c:f>
              <c:numCache>
                <c:formatCode>General</c:formatCode>
                <c:ptCount val="1"/>
                <c:pt idx="0">
                  <c:v>66845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1A-460B-9E82-F29C71C05045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Bestaande_huwelijken_naar_huwel!$V$18</c:f>
              <c:numCache>
                <c:formatCode>General</c:formatCode>
                <c:ptCount val="1"/>
                <c:pt idx="0">
                  <c:v>65601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31A-460B-9E82-F29C71C05045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Bestaande_huwelijken_naar_huwel!$W$19</c:f>
              <c:numCache>
                <c:formatCode>General</c:formatCode>
                <c:ptCount val="1"/>
                <c:pt idx="0">
                  <c:v>64458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31A-460B-9E82-F29C71C05045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Bestaande_huwelijken_naar_huwel!$X$20</c:f>
              <c:numCache>
                <c:formatCode>General</c:formatCode>
                <c:ptCount val="1"/>
                <c:pt idx="0">
                  <c:v>63311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31A-460B-9E82-F29C71C05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6468640"/>
        <c:axId val="1965671728"/>
      </c:barChart>
      <c:catAx>
        <c:axId val="2036468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65671728"/>
        <c:crosses val="autoZero"/>
        <c:auto val="1"/>
        <c:lblAlgn val="ctr"/>
        <c:lblOffset val="100"/>
        <c:noMultiLvlLbl val="0"/>
      </c:catAx>
      <c:valAx>
        <c:axId val="196567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03646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2011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Bestaande_huwelijken_naar_huwel!$P$11</c:f>
              <c:numCache>
                <c:formatCode>General</c:formatCode>
                <c:ptCount val="1"/>
                <c:pt idx="0">
                  <c:v>69877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A-488C-9B7E-17146241C6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Bestaande_huwelijken_naar_huwel!$Q$12</c:f>
              <c:numCache>
                <c:formatCode>General</c:formatCode>
                <c:ptCount val="1"/>
                <c:pt idx="0">
                  <c:v>71818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3A-488C-9B7E-17146241C6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Bestaande_huwelijken_naar_huwel!$R$13</c:f>
              <c:numCache>
                <c:formatCode>General</c:formatCode>
                <c:ptCount val="1"/>
                <c:pt idx="0">
                  <c:v>71146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3A-488C-9B7E-17146241C6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Bestaande_huwelijken_naar_huwel!$S$14</c:f>
              <c:numCache>
                <c:formatCode>General</c:formatCode>
                <c:ptCount val="1"/>
                <c:pt idx="0">
                  <c:v>70024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3A-488C-9B7E-17146241C6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Bestaande_huwelijken_naar_huwel!$T$15</c:f>
              <c:numCache>
                <c:formatCode>General</c:formatCode>
                <c:ptCount val="1"/>
                <c:pt idx="0">
                  <c:v>68580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3A-488C-9B7E-17146241C6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Bestaande_huwelijken_naar_huwel!$U$16</c:f>
              <c:numCache>
                <c:formatCode>General</c:formatCode>
                <c:ptCount val="1"/>
                <c:pt idx="0">
                  <c:v>67284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3A-488C-9B7E-17146241C6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Bestaande_huwelijken_naar_huwel!$V$17</c:f>
              <c:numCache>
                <c:formatCode>General</c:formatCode>
                <c:ptCount val="1"/>
                <c:pt idx="0">
                  <c:v>66148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3A-488C-9B7E-17146241C6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Bestaande_huwelijken_naar_huwel!$W$18</c:f>
              <c:numCache>
                <c:formatCode>General</c:formatCode>
                <c:ptCount val="1"/>
                <c:pt idx="0">
                  <c:v>65073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3A-488C-9B7E-17146241C6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Bestaande_huwelijken_naar_huwel!$X$19</c:f>
              <c:numCache>
                <c:formatCode>General</c:formatCode>
                <c:ptCount val="1"/>
                <c:pt idx="0">
                  <c:v>63875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3A-488C-9B7E-17146241C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71312768"/>
        <c:axId val="1783762368"/>
      </c:barChart>
      <c:catAx>
        <c:axId val="1971312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783762368"/>
        <c:crosses val="autoZero"/>
        <c:auto val="1"/>
        <c:lblAlgn val="ctr"/>
        <c:lblOffset val="100"/>
        <c:noMultiLvlLbl val="0"/>
      </c:catAx>
      <c:valAx>
        <c:axId val="178376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7131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Bestaande_huwelijken_naar_huwel!$Q$11</c:f>
              <c:numCache>
                <c:formatCode>General</c:formatCode>
                <c:ptCount val="1"/>
                <c:pt idx="0">
                  <c:v>66678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C-4445-9A04-3403597BB66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Bestaande_huwelijken_naar_huwel!$R$12</c:f>
              <c:numCache>
                <c:formatCode>General</c:formatCode>
                <c:ptCount val="1"/>
                <c:pt idx="0">
                  <c:v>67939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5C-4445-9A04-3403597BB66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Bestaande_huwelijken_naar_huwel!$S$13</c:f>
              <c:numCache>
                <c:formatCode>General</c:formatCode>
                <c:ptCount val="1"/>
                <c:pt idx="0">
                  <c:v>67491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5C-4445-9A04-3403597BB66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Bestaande_huwelijken_naar_huwel!$T$14</c:f>
              <c:numCache>
                <c:formatCode>General</c:formatCode>
                <c:ptCount val="1"/>
                <c:pt idx="0">
                  <c:v>66400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5C-4445-9A04-3403597BB66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Bestaande_huwelijken_naar_huwel!$U$15</c:f>
              <c:numCache>
                <c:formatCode>General</c:formatCode>
                <c:ptCount val="1"/>
                <c:pt idx="0">
                  <c:v>65250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5C-4445-9A04-3403597BB66E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Bestaande_huwelijken_naar_huwel!$V$16</c:f>
              <c:numCache>
                <c:formatCode>General</c:formatCode>
                <c:ptCount val="1"/>
                <c:pt idx="0">
                  <c:v>64291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5C-4445-9A04-3403597BB66E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Bestaande_huwelijken_naar_huwel!$W$17</c:f>
              <c:numCache>
                <c:formatCode>General</c:formatCode>
                <c:ptCount val="1"/>
                <c:pt idx="0">
                  <c:v>63221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5C-4445-9A04-3403597BB66E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Bestaande_huwelijken_naar_huwel!$X$18</c:f>
              <c:numCache>
                <c:formatCode>General</c:formatCode>
                <c:ptCount val="1"/>
                <c:pt idx="0">
                  <c:v>62190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5C-4445-9A04-3403597B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0063152"/>
        <c:axId val="1874896240"/>
      </c:barChart>
      <c:catAx>
        <c:axId val="19500631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874896240"/>
        <c:crosses val="autoZero"/>
        <c:auto val="1"/>
        <c:lblAlgn val="ctr"/>
        <c:lblOffset val="100"/>
        <c:noMultiLvlLbl val="0"/>
      </c:catAx>
      <c:valAx>
        <c:axId val="187489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5006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2013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Bestaande_huwelijken_naar_huwel!$R$11</c:f>
              <c:numCache>
                <c:formatCode>General</c:formatCode>
                <c:ptCount val="1"/>
                <c:pt idx="0">
                  <c:v>65610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1-464D-A528-003F03B16D4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Bestaande_huwelijken_naar_huwel!$S$12</c:f>
              <c:numCache>
                <c:formatCode>General</c:formatCode>
                <c:ptCount val="1"/>
                <c:pt idx="0">
                  <c:v>67373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51-464D-A528-003F03B16D4F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Bestaande_huwelijken_naar_huwel!$T$13</c:f>
              <c:numCache>
                <c:formatCode>General</c:formatCode>
                <c:ptCount val="1"/>
                <c:pt idx="0">
                  <c:v>66915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51-464D-A528-003F03B16D4F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Bestaande_huwelijken_naar_huwel!$U$14</c:f>
              <c:numCache>
                <c:formatCode>General</c:formatCode>
                <c:ptCount val="1"/>
                <c:pt idx="0">
                  <c:v>66101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51-464D-A528-003F03B16D4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Bestaande_huwelijken_naar_huwel!$V$15</c:f>
              <c:numCache>
                <c:formatCode>General</c:formatCode>
                <c:ptCount val="1"/>
                <c:pt idx="0">
                  <c:v>65327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51-464D-A528-003F03B16D4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Bestaande_huwelijken_naar_huwel!$W$16</c:f>
              <c:numCache>
                <c:formatCode>General</c:formatCode>
                <c:ptCount val="1"/>
                <c:pt idx="0">
                  <c:v>64337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51-464D-A528-003F03B16D4F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Bestaande_huwelijken_naar_huwel!$X$17</c:f>
              <c:numCache>
                <c:formatCode>General</c:formatCode>
                <c:ptCount val="1"/>
                <c:pt idx="0">
                  <c:v>63380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C51-464D-A528-003F03B16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7719776"/>
        <c:axId val="1874902064"/>
      </c:barChart>
      <c:catAx>
        <c:axId val="2027719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874902064"/>
        <c:crosses val="autoZero"/>
        <c:auto val="1"/>
        <c:lblAlgn val="ctr"/>
        <c:lblOffset val="100"/>
        <c:noMultiLvlLbl val="0"/>
      </c:catAx>
      <c:valAx>
        <c:axId val="187490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027719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2014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Bestaande_huwelijken_naar_huwel!$S$11</c:f>
              <c:numCache>
                <c:formatCode>General</c:formatCode>
                <c:ptCount val="1"/>
                <c:pt idx="0">
                  <c:v>59501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77-454A-B7BF-9BC45D049EE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Bestaande_huwelijken_naar_huwel!$T$12</c:f>
              <c:numCache>
                <c:formatCode>General</c:formatCode>
                <c:ptCount val="1"/>
                <c:pt idx="0">
                  <c:v>61193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77-454A-B7BF-9BC45D049EEF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Bestaande_huwelijken_naar_huwel!$U$13</c:f>
              <c:numCache>
                <c:formatCode>General</c:formatCode>
                <c:ptCount val="1"/>
                <c:pt idx="0">
                  <c:v>61102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77-454A-B7BF-9BC45D049EEF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Bestaande_huwelijken_naar_huwel!$V$14</c:f>
              <c:numCache>
                <c:formatCode>General</c:formatCode>
                <c:ptCount val="1"/>
                <c:pt idx="0">
                  <c:v>60815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77-454A-B7BF-9BC45D049EE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Bestaande_huwelijken_naar_huwel!$W$15</c:f>
              <c:numCache>
                <c:formatCode>General</c:formatCode>
                <c:ptCount val="1"/>
                <c:pt idx="0">
                  <c:v>60199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77-454A-B7BF-9BC45D049EE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Bestaande_huwelijken_naar_huwel!$X$16</c:f>
              <c:numCache>
                <c:formatCode>General</c:formatCode>
                <c:ptCount val="1"/>
                <c:pt idx="0">
                  <c:v>59462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77-454A-B7BF-9BC45D049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9097680"/>
        <c:axId val="1709267360"/>
      </c:barChart>
      <c:catAx>
        <c:axId val="2039097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709267360"/>
        <c:crosses val="autoZero"/>
        <c:auto val="1"/>
        <c:lblAlgn val="ctr"/>
        <c:lblOffset val="100"/>
        <c:noMultiLvlLbl val="0"/>
      </c:catAx>
      <c:valAx>
        <c:axId val="170926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03909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Bestaande_huwelijken_naar_huwel!$T$11</c:f>
              <c:numCache>
                <c:formatCode>General</c:formatCode>
                <c:ptCount val="1"/>
                <c:pt idx="0">
                  <c:v>60553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D0-4C28-896C-24ACC4DDE56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Bestaande_huwelijken_naar_huwel!$U$12</c:f>
              <c:numCache>
                <c:formatCode>General</c:formatCode>
                <c:ptCount val="1"/>
                <c:pt idx="0">
                  <c:v>62225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D0-4C28-896C-24ACC4DDE562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Bestaande_huwelijken_naar_huwel!$V$13</c:f>
              <c:numCache>
                <c:formatCode>General</c:formatCode>
                <c:ptCount val="1"/>
                <c:pt idx="0">
                  <c:v>62608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D0-4C28-896C-24ACC4DDE562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Bestaande_huwelijken_naar_huwel!$W$14</c:f>
              <c:numCache>
                <c:formatCode>General</c:formatCode>
                <c:ptCount val="1"/>
                <c:pt idx="0">
                  <c:v>62472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D0-4C28-896C-24ACC4DDE56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Bestaande_huwelijken_naar_huwel!$X$15</c:f>
              <c:numCache>
                <c:formatCode>General</c:formatCode>
                <c:ptCount val="1"/>
                <c:pt idx="0">
                  <c:v>61997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ED0-4C28-896C-24ACC4DDE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9096480"/>
        <c:axId val="1709266528"/>
      </c:barChart>
      <c:catAx>
        <c:axId val="2039096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709266528"/>
        <c:crosses val="autoZero"/>
        <c:auto val="1"/>
        <c:lblAlgn val="ctr"/>
        <c:lblOffset val="100"/>
        <c:noMultiLvlLbl val="0"/>
      </c:catAx>
      <c:valAx>
        <c:axId val="170926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03909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Bestaande_huwelijken_naar_huwel!$U$11</c:f>
              <c:numCache>
                <c:formatCode>General</c:formatCode>
                <c:ptCount val="1"/>
                <c:pt idx="0">
                  <c:v>59919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A0-45FF-B02B-26102265C8B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Bestaande_huwelijken_naar_huwel!$V$12</c:f>
              <c:numCache>
                <c:formatCode>General</c:formatCode>
                <c:ptCount val="1"/>
                <c:pt idx="0">
                  <c:v>61829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A0-45FF-B02B-26102265C8B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Bestaande_huwelijken_naar_huwel!$W$13</c:f>
              <c:numCache>
                <c:formatCode>General</c:formatCode>
                <c:ptCount val="1"/>
                <c:pt idx="0">
                  <c:v>62231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A0-45FF-B02B-26102265C8B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Bestaande_huwelijken_naar_huwel!$X$14</c:f>
              <c:numCache>
                <c:formatCode>General</c:formatCode>
                <c:ptCount val="1"/>
                <c:pt idx="0">
                  <c:v>62127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A0-45FF-B02B-26102265C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2188272"/>
        <c:axId val="1889063072"/>
      </c:barChart>
      <c:catAx>
        <c:axId val="20321882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889063072"/>
        <c:crosses val="autoZero"/>
        <c:auto val="1"/>
        <c:lblAlgn val="ctr"/>
        <c:lblOffset val="100"/>
        <c:noMultiLvlLbl val="0"/>
      </c:catAx>
      <c:valAx>
        <c:axId val="188906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03218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Bestaande_huwelijken_naar_huwel!$V$11</c:f>
              <c:numCache>
                <c:formatCode>General</c:formatCode>
                <c:ptCount val="1"/>
                <c:pt idx="0">
                  <c:v>60669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85-4630-B891-FA9FBBEAE17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Bestaande_huwelijken_naar_huwel!$W$12</c:f>
              <c:numCache>
                <c:formatCode>General</c:formatCode>
                <c:ptCount val="1"/>
                <c:pt idx="0">
                  <c:v>62580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85-4630-B891-FA9FBBEAE172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Bestaande_huwelijken_naar_huwel!$X$13</c:f>
              <c:numCache>
                <c:formatCode>General</c:formatCode>
                <c:ptCount val="1"/>
                <c:pt idx="0">
                  <c:v>63039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85-4630-B891-FA9FBBEAE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4941904"/>
        <c:axId val="1519707344"/>
      </c:barChart>
      <c:catAx>
        <c:axId val="2034941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9707344"/>
        <c:crosses val="autoZero"/>
        <c:auto val="1"/>
        <c:lblAlgn val="ctr"/>
        <c:lblOffset val="100"/>
        <c:noMultiLvlLbl val="0"/>
      </c:catAx>
      <c:valAx>
        <c:axId val="151970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03494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Bestaande_huwelijken_naar_huwel!$W$11</c:f>
              <c:numCache>
                <c:formatCode>General</c:formatCode>
                <c:ptCount val="1"/>
                <c:pt idx="0">
                  <c:v>59819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2-441B-968F-AAAD720553D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Bestaande_huwelijken_naar_huwel!$X$12</c:f>
              <c:numCache>
                <c:formatCode>General</c:formatCode>
                <c:ptCount val="1"/>
                <c:pt idx="0">
                  <c:v>62084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32-441B-968F-AAAD72055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393744"/>
        <c:axId val="1877104832"/>
      </c:barChart>
      <c:catAx>
        <c:axId val="1952393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877104832"/>
        <c:crosses val="autoZero"/>
        <c:auto val="1"/>
        <c:lblAlgn val="ctr"/>
        <c:lblOffset val="100"/>
        <c:noMultiLvlLbl val="0"/>
      </c:catAx>
      <c:valAx>
        <c:axId val="187710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5239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39688</xdr:colOff>
      <xdr:row>84</xdr:row>
      <xdr:rowOff>8036</xdr:rowOff>
    </xdr:from>
    <xdr:to>
      <xdr:col>8</xdr:col>
      <xdr:colOff>322603</xdr:colOff>
      <xdr:row>104</xdr:row>
      <xdr:rowOff>22112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485F952A-CBA5-49CA-A6E7-C2E3D711E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9071</xdr:colOff>
      <xdr:row>83</xdr:row>
      <xdr:rowOff>174625</xdr:rowOff>
    </xdr:from>
    <xdr:to>
      <xdr:col>20</xdr:col>
      <xdr:colOff>254000</xdr:colOff>
      <xdr:row>103</xdr:row>
      <xdr:rowOff>144689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D31CD0EA-BDFB-4208-825D-3F8E36C13D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598714</xdr:colOff>
      <xdr:row>84</xdr:row>
      <xdr:rowOff>47625</xdr:rowOff>
    </xdr:from>
    <xdr:to>
      <xdr:col>31</xdr:col>
      <xdr:colOff>476250</xdr:colOff>
      <xdr:row>103</xdr:row>
      <xdr:rowOff>110671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46AA5018-5F0F-4F02-9767-A7F53D213C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4534</xdr:colOff>
      <xdr:row>83</xdr:row>
      <xdr:rowOff>79375</xdr:rowOff>
    </xdr:from>
    <xdr:to>
      <xdr:col>43</xdr:col>
      <xdr:colOff>301626</xdr:colOff>
      <xdr:row>103</xdr:row>
      <xdr:rowOff>47624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D3B1070-E9DF-43C3-9B8E-EEFB02667B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598714</xdr:colOff>
      <xdr:row>4</xdr:row>
      <xdr:rowOff>41275</xdr:rowOff>
    </xdr:from>
    <xdr:to>
      <xdr:col>32</xdr:col>
      <xdr:colOff>272142</xdr:colOff>
      <xdr:row>18</xdr:row>
      <xdr:rowOff>117475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62681DA1-046B-4814-9C62-DAE0F260BE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603249</xdr:colOff>
      <xdr:row>19</xdr:row>
      <xdr:rowOff>188685</xdr:rowOff>
    </xdr:from>
    <xdr:to>
      <xdr:col>32</xdr:col>
      <xdr:colOff>276678</xdr:colOff>
      <xdr:row>34</xdr:row>
      <xdr:rowOff>74385</xdr:rowOff>
    </xdr:to>
    <xdr:graphicFrame macro="">
      <xdr:nvGraphicFramePr>
        <xdr:cNvPr id="7" name="Grafiek 6">
          <a:extLst>
            <a:ext uri="{FF2B5EF4-FFF2-40B4-BE49-F238E27FC236}">
              <a16:creationId xmlns:a16="http://schemas.microsoft.com/office/drawing/2014/main" id="{EEAE1517-7274-45EE-B520-447A06EE7F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566964</xdr:colOff>
      <xdr:row>35</xdr:row>
      <xdr:rowOff>104775</xdr:rowOff>
    </xdr:from>
    <xdr:to>
      <xdr:col>32</xdr:col>
      <xdr:colOff>240393</xdr:colOff>
      <xdr:row>49</xdr:row>
      <xdr:rowOff>180975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C9BF9A6B-F4AB-43F1-A77A-1066F3847C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369660</xdr:colOff>
      <xdr:row>50</xdr:row>
      <xdr:rowOff>118382</xdr:rowOff>
    </xdr:from>
    <xdr:to>
      <xdr:col>32</xdr:col>
      <xdr:colOff>52160</xdr:colOff>
      <xdr:row>65</xdr:row>
      <xdr:rowOff>4082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4EA7F2F1-74C1-4ABC-8D5B-1B05E0031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326571</xdr:colOff>
      <xdr:row>4</xdr:row>
      <xdr:rowOff>75293</xdr:rowOff>
    </xdr:from>
    <xdr:to>
      <xdr:col>43</xdr:col>
      <xdr:colOff>9071</xdr:colOff>
      <xdr:row>18</xdr:row>
      <xdr:rowOff>151493</xdr:rowOff>
    </xdr:to>
    <xdr:graphicFrame macro="">
      <xdr:nvGraphicFramePr>
        <xdr:cNvPr id="10" name="Grafiek 9">
          <a:extLst>
            <a:ext uri="{FF2B5EF4-FFF2-40B4-BE49-F238E27FC236}">
              <a16:creationId xmlns:a16="http://schemas.microsoft.com/office/drawing/2014/main" id="{BBD64974-9272-4928-999A-BC3D766AEF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35</xdr:col>
      <xdr:colOff>328838</xdr:colOff>
      <xdr:row>21</xdr:row>
      <xdr:rowOff>91168</xdr:rowOff>
    </xdr:from>
    <xdr:to>
      <xdr:col>43</xdr:col>
      <xdr:colOff>11338</xdr:colOff>
      <xdr:row>35</xdr:row>
      <xdr:rowOff>167368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6C46B1B7-92AE-4FDD-B4E4-AB001BE303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335641</xdr:colOff>
      <xdr:row>36</xdr:row>
      <xdr:rowOff>166007</xdr:rowOff>
    </xdr:from>
    <xdr:to>
      <xdr:col>43</xdr:col>
      <xdr:colOff>9070</xdr:colOff>
      <xdr:row>51</xdr:row>
      <xdr:rowOff>51707</xdr:rowOff>
    </xdr:to>
    <xdr:graphicFrame macro="">
      <xdr:nvGraphicFramePr>
        <xdr:cNvPr id="12" name="Grafiek 11">
          <a:extLst>
            <a:ext uri="{FF2B5EF4-FFF2-40B4-BE49-F238E27FC236}">
              <a16:creationId xmlns:a16="http://schemas.microsoft.com/office/drawing/2014/main" id="{3DE868B2-BB8D-4AF9-9BF8-74E4D6A11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35</xdr:col>
      <xdr:colOff>331107</xdr:colOff>
      <xdr:row>52</xdr:row>
      <xdr:rowOff>145596</xdr:rowOff>
    </xdr:from>
    <xdr:to>
      <xdr:col>43</xdr:col>
      <xdr:colOff>13607</xdr:colOff>
      <xdr:row>67</xdr:row>
      <xdr:rowOff>31296</xdr:rowOff>
    </xdr:to>
    <xdr:graphicFrame macro="">
      <xdr:nvGraphicFramePr>
        <xdr:cNvPr id="14" name="Grafiek 13">
          <a:extLst>
            <a:ext uri="{FF2B5EF4-FFF2-40B4-BE49-F238E27FC236}">
              <a16:creationId xmlns:a16="http://schemas.microsoft.com/office/drawing/2014/main" id="{3B711B29-55F1-43A5-9B08-E150209F2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45</xdr:col>
      <xdr:colOff>259952</xdr:colOff>
      <xdr:row>4</xdr:row>
      <xdr:rowOff>63102</xdr:rowOff>
    </xdr:from>
    <xdr:to>
      <xdr:col>52</xdr:col>
      <xdr:colOff>577452</xdr:colOff>
      <xdr:row>18</xdr:row>
      <xdr:rowOff>139302</xdr:rowOff>
    </xdr:to>
    <xdr:graphicFrame macro="">
      <xdr:nvGraphicFramePr>
        <xdr:cNvPr id="16" name="Grafiek 15">
          <a:extLst>
            <a:ext uri="{FF2B5EF4-FFF2-40B4-BE49-F238E27FC236}">
              <a16:creationId xmlns:a16="http://schemas.microsoft.com/office/drawing/2014/main" id="{071CAE8E-BC8D-4BC5-AD79-62AAD0A11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20</xdr:row>
      <xdr:rowOff>128587</xdr:rowOff>
    </xdr:from>
    <xdr:to>
      <xdr:col>52</xdr:col>
      <xdr:colOff>492125</xdr:colOff>
      <xdr:row>35</xdr:row>
      <xdr:rowOff>14287</xdr:rowOff>
    </xdr:to>
    <xdr:graphicFrame macro="">
      <xdr:nvGraphicFramePr>
        <xdr:cNvPr id="17" name="Grafiek 16">
          <a:extLst>
            <a:ext uri="{FF2B5EF4-FFF2-40B4-BE49-F238E27FC236}">
              <a16:creationId xmlns:a16="http://schemas.microsoft.com/office/drawing/2014/main" id="{037CBA8F-4701-4CFC-8369-0B0133E8C0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45</xdr:col>
      <xdr:colOff>63500</xdr:colOff>
      <xdr:row>37</xdr:row>
      <xdr:rowOff>128587</xdr:rowOff>
    </xdr:from>
    <xdr:to>
      <xdr:col>52</xdr:col>
      <xdr:colOff>412750</xdr:colOff>
      <xdr:row>52</xdr:row>
      <xdr:rowOff>14287</xdr:rowOff>
    </xdr:to>
    <xdr:graphicFrame macro="">
      <xdr:nvGraphicFramePr>
        <xdr:cNvPr id="18" name="Grafiek 17">
          <a:extLst>
            <a:ext uri="{FF2B5EF4-FFF2-40B4-BE49-F238E27FC236}">
              <a16:creationId xmlns:a16="http://schemas.microsoft.com/office/drawing/2014/main" id="{B90C430B-5D0D-4EA6-987C-8F61D33977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45</xdr:col>
      <xdr:colOff>119062</xdr:colOff>
      <xdr:row>53</xdr:row>
      <xdr:rowOff>144462</xdr:rowOff>
    </xdr:from>
    <xdr:to>
      <xdr:col>52</xdr:col>
      <xdr:colOff>468312</xdr:colOff>
      <xdr:row>68</xdr:row>
      <xdr:rowOff>30162</xdr:rowOff>
    </xdr:to>
    <xdr:graphicFrame macro="">
      <xdr:nvGraphicFramePr>
        <xdr:cNvPr id="19" name="Grafiek 18">
          <a:extLst>
            <a:ext uri="{FF2B5EF4-FFF2-40B4-BE49-F238E27FC236}">
              <a16:creationId xmlns:a16="http://schemas.microsoft.com/office/drawing/2014/main" id="{570BC3FF-9639-4DC1-90EA-19D9CB992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55</xdr:col>
      <xdr:colOff>182562</xdr:colOff>
      <xdr:row>4</xdr:row>
      <xdr:rowOff>17462</xdr:rowOff>
    </xdr:from>
    <xdr:to>
      <xdr:col>62</xdr:col>
      <xdr:colOff>531812</xdr:colOff>
      <xdr:row>18</xdr:row>
      <xdr:rowOff>93662</xdr:rowOff>
    </xdr:to>
    <xdr:graphicFrame macro="">
      <xdr:nvGraphicFramePr>
        <xdr:cNvPr id="20" name="Grafiek 19">
          <a:extLst>
            <a:ext uri="{FF2B5EF4-FFF2-40B4-BE49-F238E27FC236}">
              <a16:creationId xmlns:a16="http://schemas.microsoft.com/office/drawing/2014/main" id="{03D88FFA-DCDC-4205-871D-A528D1D34F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55</xdr:col>
      <xdr:colOff>166687</xdr:colOff>
      <xdr:row>21</xdr:row>
      <xdr:rowOff>112712</xdr:rowOff>
    </xdr:from>
    <xdr:to>
      <xdr:col>62</xdr:col>
      <xdr:colOff>515937</xdr:colOff>
      <xdr:row>35</xdr:row>
      <xdr:rowOff>188912</xdr:rowOff>
    </xdr:to>
    <xdr:graphicFrame macro="">
      <xdr:nvGraphicFramePr>
        <xdr:cNvPr id="21" name="Grafiek 20">
          <a:extLst>
            <a:ext uri="{FF2B5EF4-FFF2-40B4-BE49-F238E27FC236}">
              <a16:creationId xmlns:a16="http://schemas.microsoft.com/office/drawing/2014/main" id="{B8C15758-F633-4921-A367-5D4FAA7DF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55</xdr:col>
      <xdr:colOff>103187</xdr:colOff>
      <xdr:row>38</xdr:row>
      <xdr:rowOff>112712</xdr:rowOff>
    </xdr:from>
    <xdr:to>
      <xdr:col>62</xdr:col>
      <xdr:colOff>452437</xdr:colOff>
      <xdr:row>52</xdr:row>
      <xdr:rowOff>188912</xdr:rowOff>
    </xdr:to>
    <xdr:graphicFrame macro="">
      <xdr:nvGraphicFramePr>
        <xdr:cNvPr id="22" name="Grafiek 21">
          <a:extLst>
            <a:ext uri="{FF2B5EF4-FFF2-40B4-BE49-F238E27FC236}">
              <a16:creationId xmlns:a16="http://schemas.microsoft.com/office/drawing/2014/main" id="{23FE3AD9-5596-43DA-AE43-89CBA1F008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24</xdr:col>
      <xdr:colOff>309562</xdr:colOff>
      <xdr:row>68</xdr:row>
      <xdr:rowOff>33337</xdr:rowOff>
    </xdr:from>
    <xdr:to>
      <xdr:col>32</xdr:col>
      <xdr:colOff>55562</xdr:colOff>
      <xdr:row>82</xdr:row>
      <xdr:rowOff>109537</xdr:rowOff>
    </xdr:to>
    <xdr:graphicFrame macro="">
      <xdr:nvGraphicFramePr>
        <xdr:cNvPr id="23" name="Grafiek 22">
          <a:extLst>
            <a:ext uri="{FF2B5EF4-FFF2-40B4-BE49-F238E27FC236}">
              <a16:creationId xmlns:a16="http://schemas.microsoft.com/office/drawing/2014/main" id="{2043E0A1-0227-4F1B-9B54-9DF0AE8CCF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34</xdr:col>
      <xdr:colOff>555624</xdr:colOff>
      <xdr:row>68</xdr:row>
      <xdr:rowOff>104775</xdr:rowOff>
    </xdr:from>
    <xdr:to>
      <xdr:col>42</xdr:col>
      <xdr:colOff>285749</xdr:colOff>
      <xdr:row>82</xdr:row>
      <xdr:rowOff>180975</xdr:rowOff>
    </xdr:to>
    <xdr:graphicFrame macro="">
      <xdr:nvGraphicFramePr>
        <xdr:cNvPr id="24" name="Grafiek 23">
          <a:extLst>
            <a:ext uri="{FF2B5EF4-FFF2-40B4-BE49-F238E27FC236}">
              <a16:creationId xmlns:a16="http://schemas.microsoft.com/office/drawing/2014/main" id="{9BE0BF43-E2C6-407A-8FB7-19AA87DA74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BL116"/>
  <sheetViews>
    <sheetView tabSelected="1" topLeftCell="A2" zoomScale="90" zoomScaleNormal="90" workbookViewId="0">
      <selection activeCell="P118" sqref="P118"/>
    </sheetView>
  </sheetViews>
  <sheetFormatPr defaultRowHeight="15" x14ac:dyDescent="0.25"/>
  <cols>
    <col min="1" max="1" width="32.85546875" customWidth="1"/>
    <col min="2" max="2" width="11.140625" bestFit="1" customWidth="1"/>
    <col min="63" max="63" width="9.140625" customWidth="1"/>
  </cols>
  <sheetData>
    <row r="1" spans="1:54" x14ac:dyDescent="0.25">
      <c r="A1" t="s">
        <v>0</v>
      </c>
    </row>
    <row r="3" spans="1:54" x14ac:dyDescent="0.25">
      <c r="C3" t="s">
        <v>1</v>
      </c>
    </row>
    <row r="4" spans="1:54" x14ac:dyDescent="0.25">
      <c r="A4" t="s">
        <v>2</v>
      </c>
      <c r="C4">
        <v>1998</v>
      </c>
      <c r="D4">
        <v>1999</v>
      </c>
      <c r="E4">
        <v>2000</v>
      </c>
      <c r="F4">
        <v>2001</v>
      </c>
      <c r="G4">
        <v>2002</v>
      </c>
      <c r="H4">
        <v>2003</v>
      </c>
      <c r="I4">
        <v>2004</v>
      </c>
      <c r="J4">
        <v>2005</v>
      </c>
      <c r="K4">
        <v>2006</v>
      </c>
      <c r="L4">
        <v>2007</v>
      </c>
      <c r="M4">
        <v>2008</v>
      </c>
      <c r="N4">
        <v>2009</v>
      </c>
      <c r="O4">
        <v>2010</v>
      </c>
      <c r="P4">
        <v>2011</v>
      </c>
      <c r="Q4">
        <v>2012</v>
      </c>
      <c r="R4">
        <v>2013</v>
      </c>
      <c r="S4">
        <v>2014</v>
      </c>
      <c r="T4">
        <v>2015</v>
      </c>
      <c r="U4">
        <v>2016</v>
      </c>
      <c r="V4">
        <v>2017</v>
      </c>
      <c r="W4">
        <v>2018</v>
      </c>
      <c r="X4">
        <v>2019</v>
      </c>
      <c r="Z4">
        <v>1998</v>
      </c>
      <c r="AA4">
        <v>1999</v>
      </c>
      <c r="AB4">
        <v>2000</v>
      </c>
      <c r="AC4">
        <v>2001</v>
      </c>
      <c r="AD4">
        <v>2002</v>
      </c>
      <c r="AE4">
        <v>2003</v>
      </c>
      <c r="AF4">
        <v>2004</v>
      </c>
      <c r="AG4">
        <v>2005</v>
      </c>
      <c r="AH4">
        <v>2006</v>
      </c>
      <c r="AI4">
        <v>2007</v>
      </c>
      <c r="AJ4">
        <v>2008</v>
      </c>
      <c r="AK4">
        <v>2009</v>
      </c>
      <c r="AL4">
        <v>2010</v>
      </c>
      <c r="AM4">
        <v>2011</v>
      </c>
      <c r="AN4">
        <v>2012</v>
      </c>
      <c r="AO4">
        <v>2013</v>
      </c>
      <c r="AP4">
        <v>2014</v>
      </c>
      <c r="AQ4">
        <v>2015</v>
      </c>
      <c r="AR4">
        <v>2016</v>
      </c>
      <c r="AS4">
        <v>2017</v>
      </c>
      <c r="AT4">
        <v>2018</v>
      </c>
      <c r="AU4">
        <v>2019</v>
      </c>
    </row>
    <row r="5" spans="1:54" x14ac:dyDescent="0.25">
      <c r="A5" t="s">
        <v>3</v>
      </c>
      <c r="B5" t="s">
        <v>4</v>
      </c>
      <c r="C5">
        <v>68670</v>
      </c>
      <c r="D5">
        <v>71567</v>
      </c>
      <c r="E5">
        <v>73653</v>
      </c>
      <c r="F5">
        <v>74166</v>
      </c>
      <c r="G5">
        <v>74770</v>
      </c>
      <c r="H5">
        <v>76605</v>
      </c>
      <c r="I5">
        <v>76726</v>
      </c>
      <c r="J5">
        <v>75380</v>
      </c>
      <c r="K5">
        <v>72726</v>
      </c>
      <c r="L5">
        <v>68734</v>
      </c>
      <c r="M5">
        <v>66077</v>
      </c>
      <c r="N5">
        <v>65283</v>
      </c>
      <c r="O5">
        <v>66165</v>
      </c>
      <c r="P5">
        <v>66998</v>
      </c>
      <c r="Q5">
        <v>67691</v>
      </c>
      <c r="R5">
        <v>67683</v>
      </c>
      <c r="S5">
        <v>64593</v>
      </c>
      <c r="T5">
        <v>62872</v>
      </c>
      <c r="U5">
        <v>62451</v>
      </c>
      <c r="V5">
        <v>59298</v>
      </c>
      <c r="W5">
        <v>56729</v>
      </c>
      <c r="X5">
        <v>56107</v>
      </c>
    </row>
    <row r="6" spans="1:54" x14ac:dyDescent="0.25">
      <c r="A6" t="s">
        <v>5</v>
      </c>
      <c r="B6" t="s">
        <v>4</v>
      </c>
      <c r="C6">
        <v>86341</v>
      </c>
      <c r="D6">
        <v>77704</v>
      </c>
      <c r="E6">
        <v>79215</v>
      </c>
      <c r="F6">
        <v>72539</v>
      </c>
      <c r="G6">
        <v>69509</v>
      </c>
      <c r="H6">
        <v>65993</v>
      </c>
      <c r="I6">
        <v>62854</v>
      </c>
      <c r="J6">
        <v>59790</v>
      </c>
      <c r="K6">
        <v>63278</v>
      </c>
      <c r="L6">
        <v>59480</v>
      </c>
      <c r="M6">
        <v>57428</v>
      </c>
      <c r="N6">
        <v>53488</v>
      </c>
      <c r="O6">
        <v>54115</v>
      </c>
      <c r="P6">
        <v>55340</v>
      </c>
      <c r="Q6">
        <v>58106</v>
      </c>
      <c r="R6">
        <v>58217</v>
      </c>
      <c r="S6">
        <v>58256</v>
      </c>
      <c r="T6">
        <v>58922</v>
      </c>
      <c r="U6">
        <v>60777</v>
      </c>
      <c r="V6">
        <v>58695</v>
      </c>
      <c r="W6">
        <v>58982</v>
      </c>
      <c r="X6">
        <v>55600</v>
      </c>
    </row>
    <row r="7" spans="1:54" x14ac:dyDescent="0.25">
      <c r="A7" t="s">
        <v>6</v>
      </c>
      <c r="B7" t="s">
        <v>4</v>
      </c>
      <c r="C7">
        <v>52386</v>
      </c>
      <c r="D7">
        <v>51968</v>
      </c>
      <c r="E7">
        <v>50172</v>
      </c>
      <c r="F7">
        <v>50818</v>
      </c>
      <c r="G7">
        <v>53136</v>
      </c>
      <c r="H7">
        <v>53862</v>
      </c>
      <c r="I7">
        <v>55724</v>
      </c>
      <c r="J7">
        <v>60121</v>
      </c>
      <c r="K7">
        <v>64378</v>
      </c>
      <c r="L7">
        <v>65969</v>
      </c>
      <c r="M7">
        <v>68575</v>
      </c>
      <c r="N7">
        <v>69613</v>
      </c>
      <c r="O7">
        <v>69710</v>
      </c>
      <c r="P7">
        <v>72797</v>
      </c>
      <c r="Q7">
        <v>72410</v>
      </c>
      <c r="R7">
        <v>69508</v>
      </c>
      <c r="S7">
        <v>61941</v>
      </c>
      <c r="T7">
        <v>63318</v>
      </c>
      <c r="U7">
        <v>58166</v>
      </c>
      <c r="V7">
        <v>55360</v>
      </c>
      <c r="W7">
        <v>52915</v>
      </c>
      <c r="X7">
        <v>50090</v>
      </c>
    </row>
    <row r="8" spans="1:54" x14ac:dyDescent="0.25">
      <c r="A8" t="s">
        <v>7</v>
      </c>
      <c r="B8" t="s">
        <v>4</v>
      </c>
      <c r="C8">
        <v>25892</v>
      </c>
      <c r="D8">
        <v>23027</v>
      </c>
      <c r="E8">
        <v>22331</v>
      </c>
      <c r="F8">
        <v>23216</v>
      </c>
      <c r="G8">
        <v>26106</v>
      </c>
      <c r="H8">
        <v>26340</v>
      </c>
      <c r="I8">
        <v>26532</v>
      </c>
      <c r="J8">
        <v>28437</v>
      </c>
      <c r="K8">
        <v>29707</v>
      </c>
      <c r="L8">
        <v>31587</v>
      </c>
      <c r="M8">
        <v>33283</v>
      </c>
      <c r="N8">
        <v>33851</v>
      </c>
      <c r="O8">
        <v>33278</v>
      </c>
      <c r="P8">
        <v>34221</v>
      </c>
      <c r="Q8">
        <v>36724</v>
      </c>
      <c r="R8">
        <v>37982</v>
      </c>
      <c r="S8">
        <v>39517</v>
      </c>
      <c r="T8">
        <v>43565</v>
      </c>
      <c r="U8">
        <v>46985</v>
      </c>
      <c r="V8">
        <v>49023</v>
      </c>
      <c r="W8">
        <v>51466</v>
      </c>
      <c r="X8">
        <v>52939</v>
      </c>
    </row>
    <row r="9" spans="1:54" x14ac:dyDescent="0.25">
      <c r="A9" t="s">
        <v>8</v>
      </c>
      <c r="B9" t="s">
        <v>4</v>
      </c>
      <c r="C9">
        <v>3225</v>
      </c>
      <c r="D9">
        <v>3372</v>
      </c>
      <c r="E9">
        <v>4242</v>
      </c>
      <c r="F9">
        <v>3645</v>
      </c>
      <c r="G9">
        <v>3680</v>
      </c>
      <c r="H9">
        <v>5644</v>
      </c>
      <c r="I9">
        <v>4113</v>
      </c>
      <c r="J9">
        <v>3122</v>
      </c>
      <c r="K9">
        <v>4821</v>
      </c>
      <c r="L9">
        <v>7113</v>
      </c>
      <c r="M9">
        <v>6582</v>
      </c>
      <c r="N9">
        <v>6064</v>
      </c>
      <c r="O9">
        <v>5987</v>
      </c>
      <c r="P9">
        <v>6558</v>
      </c>
      <c r="Q9">
        <v>7909</v>
      </c>
      <c r="R9">
        <v>8305</v>
      </c>
      <c r="S9">
        <v>8760</v>
      </c>
      <c r="T9">
        <v>9634</v>
      </c>
      <c r="U9">
        <v>10332</v>
      </c>
      <c r="V9">
        <v>11439</v>
      </c>
      <c r="W9">
        <v>12494</v>
      </c>
      <c r="X9">
        <v>13145</v>
      </c>
    </row>
    <row r="10" spans="1:54" x14ac:dyDescent="0.25">
      <c r="A10" t="s">
        <v>9</v>
      </c>
      <c r="B10" t="s">
        <v>4</v>
      </c>
      <c r="C10">
        <v>71</v>
      </c>
      <c r="D10">
        <v>91</v>
      </c>
      <c r="E10">
        <v>81</v>
      </c>
      <c r="F10">
        <v>90</v>
      </c>
      <c r="G10">
        <v>83</v>
      </c>
      <c r="H10">
        <v>80</v>
      </c>
      <c r="I10">
        <v>86</v>
      </c>
      <c r="J10">
        <v>93</v>
      </c>
      <c r="K10">
        <v>86</v>
      </c>
      <c r="L10">
        <v>103</v>
      </c>
      <c r="M10">
        <v>98</v>
      </c>
      <c r="N10">
        <v>113</v>
      </c>
      <c r="O10">
        <v>140</v>
      </c>
      <c r="P10">
        <v>144</v>
      </c>
      <c r="Q10">
        <v>140</v>
      </c>
      <c r="R10">
        <v>247</v>
      </c>
      <c r="S10">
        <v>171</v>
      </c>
      <c r="T10">
        <v>170</v>
      </c>
      <c r="U10">
        <v>219</v>
      </c>
      <c r="V10">
        <v>345</v>
      </c>
      <c r="W10">
        <v>322</v>
      </c>
      <c r="X10">
        <v>309</v>
      </c>
    </row>
    <row r="11" spans="1:54" x14ac:dyDescent="0.25">
      <c r="A11" t="s">
        <v>10</v>
      </c>
      <c r="B11" t="s">
        <v>4</v>
      </c>
      <c r="C11">
        <v>82266</v>
      </c>
      <c r="D11">
        <v>84319</v>
      </c>
      <c r="E11">
        <v>85395</v>
      </c>
      <c r="F11">
        <v>83523</v>
      </c>
      <c r="G11">
        <v>76701</v>
      </c>
      <c r="H11">
        <v>80087</v>
      </c>
      <c r="I11">
        <v>76473</v>
      </c>
      <c r="J11">
        <v>70906</v>
      </c>
      <c r="K11">
        <v>68719</v>
      </c>
      <c r="L11">
        <v>67941</v>
      </c>
      <c r="M11">
        <v>69045</v>
      </c>
      <c r="N11">
        <v>72237</v>
      </c>
      <c r="O11">
        <v>71047</v>
      </c>
      <c r="P11">
        <v>69877</v>
      </c>
      <c r="Q11">
        <v>66678</v>
      </c>
      <c r="R11">
        <v>65610</v>
      </c>
      <c r="S11">
        <v>59501</v>
      </c>
      <c r="T11">
        <v>60553</v>
      </c>
      <c r="U11">
        <v>59919</v>
      </c>
      <c r="V11">
        <v>60669</v>
      </c>
      <c r="W11">
        <v>59819</v>
      </c>
      <c r="X11">
        <v>59648</v>
      </c>
    </row>
    <row r="12" spans="1:54" x14ac:dyDescent="0.25">
      <c r="A12" t="s">
        <v>11</v>
      </c>
      <c r="B12" t="s">
        <v>4</v>
      </c>
      <c r="C12">
        <v>84142</v>
      </c>
      <c r="D12">
        <v>85776</v>
      </c>
      <c r="E12">
        <v>87424</v>
      </c>
      <c r="F12">
        <v>88927</v>
      </c>
      <c r="G12">
        <v>87557</v>
      </c>
      <c r="H12">
        <v>80702</v>
      </c>
      <c r="I12">
        <v>83680</v>
      </c>
      <c r="J12">
        <v>79155</v>
      </c>
      <c r="K12">
        <v>72901</v>
      </c>
      <c r="L12">
        <v>70019</v>
      </c>
      <c r="M12">
        <v>69128</v>
      </c>
      <c r="N12">
        <v>70770</v>
      </c>
      <c r="O12">
        <v>74442</v>
      </c>
      <c r="P12">
        <v>72861</v>
      </c>
      <c r="Q12">
        <v>71818</v>
      </c>
      <c r="R12">
        <v>67939</v>
      </c>
      <c r="S12">
        <v>67373</v>
      </c>
      <c r="T12">
        <v>61193</v>
      </c>
      <c r="U12">
        <v>62225</v>
      </c>
      <c r="V12">
        <v>61829</v>
      </c>
      <c r="W12">
        <v>62580</v>
      </c>
      <c r="X12">
        <v>62084</v>
      </c>
    </row>
    <row r="13" spans="1:54" x14ac:dyDescent="0.25">
      <c r="A13" t="s">
        <v>12</v>
      </c>
      <c r="B13" t="s">
        <v>4</v>
      </c>
      <c r="C13">
        <v>81846</v>
      </c>
      <c r="D13">
        <v>83738</v>
      </c>
      <c r="E13">
        <v>85386</v>
      </c>
      <c r="F13">
        <v>86881</v>
      </c>
      <c r="G13">
        <v>88110</v>
      </c>
      <c r="H13">
        <v>87025</v>
      </c>
      <c r="I13">
        <v>80291</v>
      </c>
      <c r="J13">
        <v>82732</v>
      </c>
      <c r="K13">
        <v>78152</v>
      </c>
      <c r="L13">
        <v>72052</v>
      </c>
      <c r="M13">
        <v>69233</v>
      </c>
      <c r="N13">
        <v>68732</v>
      </c>
      <c r="O13">
        <v>70653</v>
      </c>
      <c r="P13">
        <v>74033</v>
      </c>
      <c r="Q13">
        <v>72515</v>
      </c>
      <c r="R13">
        <v>71146</v>
      </c>
      <c r="S13">
        <v>67491</v>
      </c>
      <c r="T13">
        <v>66915</v>
      </c>
      <c r="U13">
        <v>61102</v>
      </c>
      <c r="V13">
        <v>62608</v>
      </c>
      <c r="W13">
        <v>62231</v>
      </c>
      <c r="X13">
        <v>63039</v>
      </c>
    </row>
    <row r="14" spans="1:54" x14ac:dyDescent="0.25">
      <c r="A14" t="s">
        <v>13</v>
      </c>
      <c r="B14" t="s">
        <v>4</v>
      </c>
      <c r="C14">
        <v>84209</v>
      </c>
      <c r="D14">
        <v>80752</v>
      </c>
      <c r="E14">
        <v>82398</v>
      </c>
      <c r="F14">
        <v>83971</v>
      </c>
      <c r="G14">
        <v>85164</v>
      </c>
      <c r="H14">
        <v>86267</v>
      </c>
      <c r="I14">
        <v>85370</v>
      </c>
      <c r="J14">
        <v>78634</v>
      </c>
      <c r="K14">
        <v>80850</v>
      </c>
      <c r="L14">
        <v>76413</v>
      </c>
      <c r="M14">
        <v>70650</v>
      </c>
      <c r="N14">
        <v>68077</v>
      </c>
      <c r="O14">
        <v>67881</v>
      </c>
      <c r="P14">
        <v>69583</v>
      </c>
      <c r="Q14">
        <v>73115</v>
      </c>
      <c r="R14">
        <v>71266</v>
      </c>
      <c r="S14">
        <v>70024</v>
      </c>
      <c r="T14">
        <v>66400</v>
      </c>
      <c r="U14">
        <v>66101</v>
      </c>
      <c r="V14">
        <v>60815</v>
      </c>
      <c r="W14">
        <v>62472</v>
      </c>
      <c r="X14">
        <v>62127</v>
      </c>
    </row>
    <row r="15" spans="1:54" x14ac:dyDescent="0.25">
      <c r="A15" t="s">
        <v>14</v>
      </c>
      <c r="B15" t="s">
        <v>4</v>
      </c>
      <c r="C15">
        <v>86330</v>
      </c>
      <c r="D15">
        <v>82278</v>
      </c>
      <c r="E15">
        <v>79157</v>
      </c>
      <c r="F15">
        <v>80635</v>
      </c>
      <c r="G15">
        <v>82004</v>
      </c>
      <c r="H15">
        <v>82885</v>
      </c>
      <c r="I15">
        <v>84005</v>
      </c>
      <c r="J15">
        <v>83077</v>
      </c>
      <c r="K15">
        <v>76555</v>
      </c>
      <c r="L15">
        <v>78648</v>
      </c>
      <c r="M15">
        <v>74447</v>
      </c>
      <c r="N15">
        <v>69118</v>
      </c>
      <c r="O15">
        <v>66819</v>
      </c>
      <c r="P15">
        <v>66628</v>
      </c>
      <c r="Q15">
        <v>68436</v>
      </c>
      <c r="R15">
        <v>71587</v>
      </c>
      <c r="S15">
        <v>69760</v>
      </c>
      <c r="T15">
        <v>68580</v>
      </c>
      <c r="U15">
        <v>65250</v>
      </c>
      <c r="V15">
        <v>65327</v>
      </c>
      <c r="W15">
        <v>60199</v>
      </c>
      <c r="X15">
        <v>61997</v>
      </c>
      <c r="BB15" t="s">
        <v>95</v>
      </c>
    </row>
    <row r="16" spans="1:54" x14ac:dyDescent="0.25">
      <c r="A16" t="s">
        <v>15</v>
      </c>
      <c r="B16" t="s">
        <v>4</v>
      </c>
      <c r="C16">
        <v>89161</v>
      </c>
      <c r="D16">
        <v>84061</v>
      </c>
      <c r="E16">
        <v>80479</v>
      </c>
      <c r="F16">
        <v>77614</v>
      </c>
      <c r="G16">
        <v>78688</v>
      </c>
      <c r="H16">
        <v>79887</v>
      </c>
      <c r="I16">
        <v>80573</v>
      </c>
      <c r="J16">
        <v>81704</v>
      </c>
      <c r="K16">
        <v>80614</v>
      </c>
      <c r="L16">
        <v>74382</v>
      </c>
      <c r="M16">
        <v>76410</v>
      </c>
      <c r="N16">
        <v>72529</v>
      </c>
      <c r="O16">
        <v>67717</v>
      </c>
      <c r="P16">
        <v>65421</v>
      </c>
      <c r="Q16">
        <v>65241</v>
      </c>
      <c r="R16">
        <v>66979</v>
      </c>
      <c r="S16">
        <v>69895</v>
      </c>
      <c r="T16">
        <v>68303</v>
      </c>
      <c r="U16">
        <v>67284</v>
      </c>
      <c r="V16">
        <v>64291</v>
      </c>
      <c r="W16">
        <v>64337</v>
      </c>
      <c r="X16">
        <v>59462</v>
      </c>
    </row>
    <row r="17" spans="1:64" x14ac:dyDescent="0.25">
      <c r="A17" t="s">
        <v>16</v>
      </c>
      <c r="B17" t="s">
        <v>4</v>
      </c>
      <c r="C17">
        <v>87014</v>
      </c>
      <c r="D17">
        <v>87085</v>
      </c>
      <c r="E17">
        <v>82072</v>
      </c>
      <c r="F17">
        <v>78797</v>
      </c>
      <c r="G17">
        <v>75824</v>
      </c>
      <c r="H17">
        <v>76796</v>
      </c>
      <c r="I17">
        <v>77895</v>
      </c>
      <c r="J17">
        <v>78402</v>
      </c>
      <c r="K17">
        <v>79324</v>
      </c>
      <c r="L17">
        <v>78268</v>
      </c>
      <c r="M17">
        <v>72244</v>
      </c>
      <c r="N17">
        <v>74312</v>
      </c>
      <c r="O17">
        <v>70817</v>
      </c>
      <c r="P17">
        <v>66217</v>
      </c>
      <c r="Q17">
        <v>63980</v>
      </c>
      <c r="R17">
        <v>63781</v>
      </c>
      <c r="S17">
        <v>65537</v>
      </c>
      <c r="T17">
        <v>68288</v>
      </c>
      <c r="U17">
        <v>66845</v>
      </c>
      <c r="V17">
        <v>66148</v>
      </c>
      <c r="W17">
        <v>63221</v>
      </c>
      <c r="X17">
        <v>63380</v>
      </c>
      <c r="AR17" t="s">
        <v>91</v>
      </c>
      <c r="BL17" t="s">
        <v>99</v>
      </c>
    </row>
    <row r="18" spans="1:64" x14ac:dyDescent="0.25">
      <c r="A18" t="s">
        <v>17</v>
      </c>
      <c r="B18" t="s">
        <v>4</v>
      </c>
      <c r="C18">
        <v>87085</v>
      </c>
      <c r="D18">
        <v>85122</v>
      </c>
      <c r="E18">
        <v>85225</v>
      </c>
      <c r="F18">
        <v>80288</v>
      </c>
      <c r="G18">
        <v>76863</v>
      </c>
      <c r="H18">
        <v>74075</v>
      </c>
      <c r="I18">
        <v>74858</v>
      </c>
      <c r="J18">
        <v>75883</v>
      </c>
      <c r="K18">
        <v>76239</v>
      </c>
      <c r="L18">
        <v>77162</v>
      </c>
      <c r="M18">
        <v>76198</v>
      </c>
      <c r="N18">
        <v>70313</v>
      </c>
      <c r="O18">
        <v>72557</v>
      </c>
      <c r="P18">
        <v>69077</v>
      </c>
      <c r="Q18">
        <v>64706</v>
      </c>
      <c r="R18">
        <v>62491</v>
      </c>
      <c r="S18">
        <v>62257</v>
      </c>
      <c r="T18">
        <v>63977</v>
      </c>
      <c r="U18">
        <v>66876</v>
      </c>
      <c r="V18">
        <v>65601</v>
      </c>
      <c r="W18">
        <v>65073</v>
      </c>
      <c r="X18">
        <v>62190</v>
      </c>
      <c r="AH18" t="s">
        <v>87</v>
      </c>
    </row>
    <row r="19" spans="1:64" x14ac:dyDescent="0.25">
      <c r="A19" t="s">
        <v>18</v>
      </c>
      <c r="B19" t="s">
        <v>4</v>
      </c>
      <c r="C19">
        <v>81989</v>
      </c>
      <c r="D19">
        <v>85363</v>
      </c>
      <c r="E19">
        <v>83369</v>
      </c>
      <c r="F19">
        <v>83485</v>
      </c>
      <c r="G19">
        <v>78454</v>
      </c>
      <c r="H19">
        <v>74965</v>
      </c>
      <c r="I19">
        <v>72328</v>
      </c>
      <c r="J19">
        <v>72926</v>
      </c>
      <c r="K19">
        <v>73884</v>
      </c>
      <c r="L19">
        <v>74184</v>
      </c>
      <c r="M19">
        <v>75122</v>
      </c>
      <c r="N19">
        <v>74255</v>
      </c>
      <c r="O19">
        <v>68629</v>
      </c>
      <c r="P19">
        <v>70889</v>
      </c>
      <c r="Q19">
        <v>67510</v>
      </c>
      <c r="R19">
        <v>63141</v>
      </c>
      <c r="S19">
        <v>61070</v>
      </c>
      <c r="T19">
        <v>60927</v>
      </c>
      <c r="U19">
        <v>62731</v>
      </c>
      <c r="V19">
        <v>65702</v>
      </c>
      <c r="W19">
        <v>64458</v>
      </c>
      <c r="X19">
        <v>63875</v>
      </c>
    </row>
    <row r="20" spans="1:64" x14ac:dyDescent="0.25">
      <c r="A20" t="s">
        <v>19</v>
      </c>
      <c r="B20" t="s">
        <v>4</v>
      </c>
      <c r="C20">
        <v>79036</v>
      </c>
      <c r="D20">
        <v>80477</v>
      </c>
      <c r="E20">
        <v>83644</v>
      </c>
      <c r="F20">
        <v>81672</v>
      </c>
      <c r="G20">
        <v>81608</v>
      </c>
      <c r="H20">
        <v>76467</v>
      </c>
      <c r="I20">
        <v>73148</v>
      </c>
      <c r="J20">
        <v>70489</v>
      </c>
      <c r="K20">
        <v>71062</v>
      </c>
      <c r="L20">
        <v>71995</v>
      </c>
      <c r="M20">
        <v>72361</v>
      </c>
      <c r="N20">
        <v>73263</v>
      </c>
      <c r="O20">
        <v>72594</v>
      </c>
      <c r="P20">
        <v>67108</v>
      </c>
      <c r="Q20">
        <v>69142</v>
      </c>
      <c r="R20">
        <v>65977</v>
      </c>
      <c r="S20">
        <v>61645</v>
      </c>
      <c r="T20">
        <v>59648</v>
      </c>
      <c r="U20">
        <v>59655</v>
      </c>
      <c r="V20">
        <v>61704</v>
      </c>
      <c r="W20">
        <v>64543</v>
      </c>
      <c r="X20">
        <v>63311</v>
      </c>
    </row>
    <row r="21" spans="1:64" x14ac:dyDescent="0.25">
      <c r="A21" t="s">
        <v>20</v>
      </c>
      <c r="B21" t="s">
        <v>4</v>
      </c>
      <c r="C21">
        <v>77049</v>
      </c>
      <c r="D21">
        <v>77613</v>
      </c>
      <c r="E21">
        <v>79020</v>
      </c>
      <c r="F21">
        <v>82081</v>
      </c>
      <c r="G21">
        <v>79930</v>
      </c>
      <c r="H21">
        <v>79776</v>
      </c>
      <c r="I21">
        <v>74675</v>
      </c>
      <c r="J21">
        <v>71388</v>
      </c>
      <c r="K21">
        <v>68768</v>
      </c>
      <c r="L21">
        <v>69332</v>
      </c>
      <c r="M21">
        <v>70258</v>
      </c>
      <c r="N21">
        <v>70651</v>
      </c>
      <c r="O21">
        <v>71708</v>
      </c>
      <c r="P21">
        <v>71045</v>
      </c>
      <c r="Q21">
        <v>65544</v>
      </c>
      <c r="R21">
        <v>67520</v>
      </c>
      <c r="S21">
        <v>64463</v>
      </c>
      <c r="T21">
        <v>60199</v>
      </c>
      <c r="U21">
        <v>58459</v>
      </c>
      <c r="V21">
        <v>58583</v>
      </c>
      <c r="W21">
        <v>60656</v>
      </c>
      <c r="X21">
        <v>63428</v>
      </c>
    </row>
    <row r="22" spans="1:64" x14ac:dyDescent="0.25">
      <c r="A22" t="s">
        <v>21</v>
      </c>
      <c r="B22" t="s">
        <v>4</v>
      </c>
      <c r="C22">
        <v>75252</v>
      </c>
      <c r="D22">
        <v>75756</v>
      </c>
      <c r="E22">
        <v>76271</v>
      </c>
      <c r="F22">
        <v>77498</v>
      </c>
      <c r="G22">
        <v>80420</v>
      </c>
      <c r="H22">
        <v>78167</v>
      </c>
      <c r="I22">
        <v>77879</v>
      </c>
      <c r="J22">
        <v>72914</v>
      </c>
      <c r="K22">
        <v>69583</v>
      </c>
      <c r="L22">
        <v>67153</v>
      </c>
      <c r="M22">
        <v>67794</v>
      </c>
      <c r="N22">
        <v>68675</v>
      </c>
      <c r="O22">
        <v>69226</v>
      </c>
      <c r="P22">
        <v>70272</v>
      </c>
      <c r="Q22">
        <v>69545</v>
      </c>
      <c r="R22">
        <v>63988</v>
      </c>
      <c r="S22">
        <v>65945</v>
      </c>
      <c r="T22">
        <v>62980</v>
      </c>
      <c r="U22">
        <v>58939</v>
      </c>
      <c r="V22">
        <v>57474</v>
      </c>
      <c r="W22">
        <v>57572</v>
      </c>
      <c r="X22">
        <v>59588</v>
      </c>
    </row>
    <row r="23" spans="1:64" x14ac:dyDescent="0.25">
      <c r="A23" t="s">
        <v>22</v>
      </c>
      <c r="B23" t="s">
        <v>4</v>
      </c>
      <c r="C23">
        <v>70201</v>
      </c>
      <c r="D23">
        <v>73976</v>
      </c>
      <c r="E23">
        <v>74513</v>
      </c>
      <c r="F23">
        <v>74973</v>
      </c>
      <c r="G23">
        <v>75993</v>
      </c>
      <c r="H23">
        <v>78754</v>
      </c>
      <c r="I23">
        <v>76390</v>
      </c>
      <c r="J23">
        <v>76096</v>
      </c>
      <c r="K23">
        <v>71129</v>
      </c>
      <c r="L23">
        <v>67956</v>
      </c>
      <c r="M23">
        <v>65666</v>
      </c>
      <c r="N23">
        <v>66250</v>
      </c>
      <c r="O23">
        <v>67445</v>
      </c>
      <c r="P23">
        <v>67870</v>
      </c>
      <c r="Q23">
        <v>68785</v>
      </c>
      <c r="R23">
        <v>68055</v>
      </c>
      <c r="S23">
        <v>62593</v>
      </c>
      <c r="T23">
        <v>64436</v>
      </c>
      <c r="U23">
        <v>61720</v>
      </c>
      <c r="V23">
        <v>57926</v>
      </c>
      <c r="W23">
        <v>56521</v>
      </c>
      <c r="X23">
        <v>56650</v>
      </c>
    </row>
    <row r="24" spans="1:64" x14ac:dyDescent="0.25">
      <c r="A24" t="s">
        <v>23</v>
      </c>
      <c r="B24" t="s">
        <v>4</v>
      </c>
      <c r="C24">
        <v>67139</v>
      </c>
      <c r="D24">
        <v>69157</v>
      </c>
      <c r="E24">
        <v>72792</v>
      </c>
      <c r="F24">
        <v>73358</v>
      </c>
      <c r="G24">
        <v>73546</v>
      </c>
      <c r="H24">
        <v>74456</v>
      </c>
      <c r="I24">
        <v>77062</v>
      </c>
      <c r="J24">
        <v>74664</v>
      </c>
      <c r="K24">
        <v>74322</v>
      </c>
      <c r="L24">
        <v>69511</v>
      </c>
      <c r="M24">
        <v>66488</v>
      </c>
      <c r="N24">
        <v>64316</v>
      </c>
      <c r="O24">
        <v>64885</v>
      </c>
      <c r="P24">
        <v>66125</v>
      </c>
      <c r="Q24">
        <v>66597</v>
      </c>
      <c r="R24">
        <v>67309</v>
      </c>
      <c r="S24">
        <v>66592</v>
      </c>
      <c r="T24">
        <v>61308</v>
      </c>
      <c r="U24">
        <v>63181</v>
      </c>
      <c r="V24">
        <v>60669</v>
      </c>
      <c r="W24">
        <v>56936</v>
      </c>
      <c r="X24">
        <v>55564</v>
      </c>
    </row>
    <row r="25" spans="1:64" x14ac:dyDescent="0.25">
      <c r="A25" t="s">
        <v>24</v>
      </c>
      <c r="B25" t="s">
        <v>4</v>
      </c>
      <c r="C25">
        <v>64434</v>
      </c>
      <c r="D25">
        <v>66177</v>
      </c>
      <c r="E25">
        <v>68023</v>
      </c>
      <c r="F25">
        <v>71624</v>
      </c>
      <c r="G25">
        <v>72044</v>
      </c>
      <c r="H25">
        <v>72008</v>
      </c>
      <c r="I25">
        <v>72922</v>
      </c>
      <c r="J25">
        <v>75318</v>
      </c>
      <c r="K25">
        <v>72962</v>
      </c>
      <c r="L25">
        <v>72614</v>
      </c>
      <c r="M25">
        <v>68065</v>
      </c>
      <c r="N25">
        <v>65016</v>
      </c>
      <c r="O25">
        <v>63098</v>
      </c>
      <c r="P25">
        <v>63633</v>
      </c>
      <c r="Q25">
        <v>64849</v>
      </c>
      <c r="R25">
        <v>65278</v>
      </c>
      <c r="S25">
        <v>65885</v>
      </c>
      <c r="T25">
        <v>65225</v>
      </c>
      <c r="U25">
        <v>60119</v>
      </c>
      <c r="V25">
        <v>62062</v>
      </c>
      <c r="W25">
        <v>59576</v>
      </c>
      <c r="X25">
        <v>55973</v>
      </c>
    </row>
    <row r="26" spans="1:64" x14ac:dyDescent="0.25">
      <c r="A26" t="s">
        <v>25</v>
      </c>
      <c r="B26" t="s">
        <v>4</v>
      </c>
      <c r="C26">
        <v>67967</v>
      </c>
      <c r="D26">
        <v>63600</v>
      </c>
      <c r="E26">
        <v>65187</v>
      </c>
      <c r="F26">
        <v>66992</v>
      </c>
      <c r="G26">
        <v>70264</v>
      </c>
      <c r="H26">
        <v>70706</v>
      </c>
      <c r="I26">
        <v>70572</v>
      </c>
      <c r="J26">
        <v>71323</v>
      </c>
      <c r="K26">
        <v>73566</v>
      </c>
      <c r="L26">
        <v>71346</v>
      </c>
      <c r="M26">
        <v>71044</v>
      </c>
      <c r="N26">
        <v>66654</v>
      </c>
      <c r="O26">
        <v>63806</v>
      </c>
      <c r="P26">
        <v>61975</v>
      </c>
      <c r="Q26">
        <v>62442</v>
      </c>
      <c r="R26">
        <v>63547</v>
      </c>
      <c r="S26">
        <v>64018</v>
      </c>
      <c r="T26">
        <v>64519</v>
      </c>
      <c r="U26">
        <v>63969</v>
      </c>
      <c r="V26">
        <v>59043</v>
      </c>
      <c r="W26">
        <v>60905</v>
      </c>
      <c r="X26">
        <v>58515</v>
      </c>
    </row>
    <row r="27" spans="1:64" x14ac:dyDescent="0.25">
      <c r="A27" t="s">
        <v>26</v>
      </c>
      <c r="B27" t="s">
        <v>4</v>
      </c>
      <c r="C27">
        <v>68732</v>
      </c>
      <c r="D27">
        <v>67033</v>
      </c>
      <c r="E27">
        <v>62693</v>
      </c>
      <c r="F27">
        <v>64180</v>
      </c>
      <c r="G27">
        <v>65800</v>
      </c>
      <c r="H27">
        <v>68847</v>
      </c>
      <c r="I27">
        <v>69275</v>
      </c>
      <c r="J27">
        <v>69077</v>
      </c>
      <c r="K27">
        <v>69735</v>
      </c>
      <c r="L27">
        <v>71956</v>
      </c>
      <c r="M27">
        <v>69737</v>
      </c>
      <c r="N27">
        <v>69604</v>
      </c>
      <c r="O27">
        <v>65414</v>
      </c>
      <c r="P27">
        <v>62619</v>
      </c>
      <c r="Q27">
        <v>60882</v>
      </c>
      <c r="R27">
        <v>61215</v>
      </c>
      <c r="S27">
        <v>62306</v>
      </c>
      <c r="T27">
        <v>62665</v>
      </c>
      <c r="U27">
        <v>63362</v>
      </c>
      <c r="V27">
        <v>62806</v>
      </c>
      <c r="W27">
        <v>58071</v>
      </c>
      <c r="X27">
        <v>59830</v>
      </c>
    </row>
    <row r="28" spans="1:64" x14ac:dyDescent="0.25">
      <c r="A28" t="s">
        <v>27</v>
      </c>
      <c r="B28" t="s">
        <v>4</v>
      </c>
      <c r="C28">
        <v>71827</v>
      </c>
      <c r="D28">
        <v>67859</v>
      </c>
      <c r="E28">
        <v>66076</v>
      </c>
      <c r="F28">
        <v>61828</v>
      </c>
      <c r="G28">
        <v>63085</v>
      </c>
      <c r="H28">
        <v>64513</v>
      </c>
      <c r="I28">
        <v>67539</v>
      </c>
      <c r="J28">
        <v>67759</v>
      </c>
      <c r="K28">
        <v>67563</v>
      </c>
      <c r="L28">
        <v>68245</v>
      </c>
      <c r="M28">
        <v>70433</v>
      </c>
      <c r="N28">
        <v>68246</v>
      </c>
      <c r="O28">
        <v>68305</v>
      </c>
      <c r="P28">
        <v>64118</v>
      </c>
      <c r="Q28">
        <v>61430</v>
      </c>
      <c r="R28">
        <v>59661</v>
      </c>
      <c r="S28">
        <v>60069</v>
      </c>
      <c r="T28">
        <v>61021</v>
      </c>
      <c r="U28">
        <v>61513</v>
      </c>
      <c r="V28">
        <v>62180</v>
      </c>
      <c r="W28">
        <v>61686</v>
      </c>
      <c r="X28">
        <v>57107</v>
      </c>
    </row>
    <row r="29" spans="1:64" x14ac:dyDescent="0.25">
      <c r="A29" t="s">
        <v>28</v>
      </c>
      <c r="B29" t="s">
        <v>4</v>
      </c>
      <c r="C29">
        <v>66720</v>
      </c>
      <c r="D29">
        <v>70813</v>
      </c>
      <c r="E29">
        <v>66934</v>
      </c>
      <c r="F29">
        <v>65162</v>
      </c>
      <c r="G29">
        <v>60807</v>
      </c>
      <c r="H29">
        <v>61892</v>
      </c>
      <c r="I29">
        <v>63205</v>
      </c>
      <c r="J29">
        <v>66187</v>
      </c>
      <c r="K29">
        <v>66376</v>
      </c>
      <c r="L29">
        <v>66221</v>
      </c>
      <c r="M29">
        <v>66959</v>
      </c>
      <c r="N29">
        <v>69001</v>
      </c>
      <c r="O29">
        <v>66982</v>
      </c>
      <c r="P29">
        <v>67108</v>
      </c>
      <c r="Q29">
        <v>62942</v>
      </c>
      <c r="R29">
        <v>60238</v>
      </c>
      <c r="S29">
        <v>58488</v>
      </c>
      <c r="T29">
        <v>58801</v>
      </c>
      <c r="U29">
        <v>59882</v>
      </c>
      <c r="V29">
        <v>60378</v>
      </c>
      <c r="W29">
        <v>61087</v>
      </c>
      <c r="X29">
        <v>60569</v>
      </c>
    </row>
    <row r="30" spans="1:64" x14ac:dyDescent="0.25">
      <c r="A30" t="s">
        <v>29</v>
      </c>
      <c r="B30" t="s">
        <v>4</v>
      </c>
      <c r="C30">
        <v>68865</v>
      </c>
      <c r="D30">
        <v>65830</v>
      </c>
      <c r="E30">
        <v>69829</v>
      </c>
      <c r="F30">
        <v>65950</v>
      </c>
      <c r="G30">
        <v>64008</v>
      </c>
      <c r="H30">
        <v>59697</v>
      </c>
      <c r="I30">
        <v>60672</v>
      </c>
      <c r="J30">
        <v>61920</v>
      </c>
      <c r="K30">
        <v>64841</v>
      </c>
      <c r="L30">
        <v>65022</v>
      </c>
      <c r="M30">
        <v>64911</v>
      </c>
      <c r="N30">
        <v>65686</v>
      </c>
      <c r="O30">
        <v>67721</v>
      </c>
      <c r="P30">
        <v>65685</v>
      </c>
      <c r="Q30">
        <v>65853</v>
      </c>
      <c r="R30">
        <v>61737</v>
      </c>
      <c r="S30">
        <v>59115</v>
      </c>
      <c r="T30">
        <v>57311</v>
      </c>
      <c r="U30">
        <v>57686</v>
      </c>
      <c r="V30">
        <v>58861</v>
      </c>
      <c r="W30">
        <v>59321</v>
      </c>
      <c r="X30">
        <v>59952</v>
      </c>
    </row>
    <row r="31" spans="1:64" x14ac:dyDescent="0.25">
      <c r="A31" t="s">
        <v>30</v>
      </c>
      <c r="B31" t="s">
        <v>4</v>
      </c>
      <c r="C31">
        <v>71067</v>
      </c>
      <c r="D31">
        <v>67865</v>
      </c>
      <c r="E31">
        <v>64884</v>
      </c>
      <c r="F31">
        <v>68861</v>
      </c>
      <c r="G31">
        <v>64925</v>
      </c>
      <c r="H31">
        <v>62854</v>
      </c>
      <c r="I31">
        <v>58589</v>
      </c>
      <c r="J31">
        <v>59410</v>
      </c>
      <c r="K31">
        <v>60635</v>
      </c>
      <c r="L31">
        <v>63568</v>
      </c>
      <c r="M31">
        <v>63744</v>
      </c>
      <c r="N31">
        <v>63672</v>
      </c>
      <c r="O31">
        <v>64494</v>
      </c>
      <c r="P31">
        <v>66557</v>
      </c>
      <c r="Q31">
        <v>64495</v>
      </c>
      <c r="R31">
        <v>64624</v>
      </c>
      <c r="S31">
        <v>60623</v>
      </c>
      <c r="T31">
        <v>57875</v>
      </c>
      <c r="U31">
        <v>56266</v>
      </c>
      <c r="V31">
        <v>56699</v>
      </c>
      <c r="W31">
        <v>57928</v>
      </c>
      <c r="X31">
        <v>58317</v>
      </c>
    </row>
    <row r="32" spans="1:64" x14ac:dyDescent="0.25">
      <c r="A32" t="s">
        <v>31</v>
      </c>
      <c r="B32" t="s">
        <v>4</v>
      </c>
      <c r="C32">
        <v>73518</v>
      </c>
      <c r="D32">
        <v>70060</v>
      </c>
      <c r="E32">
        <v>66991</v>
      </c>
      <c r="F32">
        <v>63902</v>
      </c>
      <c r="G32">
        <v>67781</v>
      </c>
      <c r="H32">
        <v>63802</v>
      </c>
      <c r="I32">
        <v>61728</v>
      </c>
      <c r="J32">
        <v>57512</v>
      </c>
      <c r="K32">
        <v>58213</v>
      </c>
      <c r="L32">
        <v>59416</v>
      </c>
      <c r="M32">
        <v>62307</v>
      </c>
      <c r="N32">
        <v>62495</v>
      </c>
      <c r="O32">
        <v>62510</v>
      </c>
      <c r="P32">
        <v>63309</v>
      </c>
      <c r="Q32">
        <v>65292</v>
      </c>
      <c r="R32">
        <v>63213</v>
      </c>
      <c r="S32">
        <v>63418</v>
      </c>
      <c r="T32">
        <v>59421</v>
      </c>
      <c r="U32">
        <v>56909</v>
      </c>
      <c r="V32">
        <v>55274</v>
      </c>
      <c r="W32">
        <v>55822</v>
      </c>
      <c r="X32">
        <v>56958</v>
      </c>
    </row>
    <row r="33" spans="1:64" x14ac:dyDescent="0.25">
      <c r="A33" t="s">
        <v>32</v>
      </c>
      <c r="B33" t="s">
        <v>4</v>
      </c>
      <c r="C33">
        <v>75529</v>
      </c>
      <c r="D33">
        <v>72527</v>
      </c>
      <c r="E33">
        <v>69089</v>
      </c>
      <c r="F33">
        <v>65989</v>
      </c>
      <c r="G33">
        <v>62900</v>
      </c>
      <c r="H33">
        <v>66621</v>
      </c>
      <c r="I33">
        <v>62725</v>
      </c>
      <c r="J33">
        <v>60606</v>
      </c>
      <c r="K33">
        <v>56452</v>
      </c>
      <c r="L33">
        <v>57061</v>
      </c>
      <c r="M33">
        <v>58280</v>
      </c>
      <c r="N33">
        <v>61177</v>
      </c>
      <c r="O33">
        <v>61415</v>
      </c>
      <c r="P33">
        <v>61432</v>
      </c>
      <c r="Q33">
        <v>62232</v>
      </c>
      <c r="R33">
        <v>64126</v>
      </c>
      <c r="S33">
        <v>62038</v>
      </c>
      <c r="T33">
        <v>62111</v>
      </c>
      <c r="U33">
        <v>58394</v>
      </c>
      <c r="V33">
        <v>55921</v>
      </c>
      <c r="W33">
        <v>54366</v>
      </c>
      <c r="X33">
        <v>54985</v>
      </c>
      <c r="BB33" t="s">
        <v>96</v>
      </c>
    </row>
    <row r="34" spans="1:64" x14ac:dyDescent="0.25">
      <c r="A34" t="s">
        <v>33</v>
      </c>
      <c r="B34" t="s">
        <v>4</v>
      </c>
      <c r="C34">
        <v>81436</v>
      </c>
      <c r="D34">
        <v>74458</v>
      </c>
      <c r="E34">
        <v>71520</v>
      </c>
      <c r="F34">
        <v>68114</v>
      </c>
      <c r="G34">
        <v>64959</v>
      </c>
      <c r="H34">
        <v>61865</v>
      </c>
      <c r="I34">
        <v>65502</v>
      </c>
      <c r="J34">
        <v>61630</v>
      </c>
      <c r="K34">
        <v>59456</v>
      </c>
      <c r="L34">
        <v>55388</v>
      </c>
      <c r="M34">
        <v>55940</v>
      </c>
      <c r="N34">
        <v>57238</v>
      </c>
      <c r="O34">
        <v>60122</v>
      </c>
      <c r="P34">
        <v>60279</v>
      </c>
      <c r="Q34">
        <v>60371</v>
      </c>
      <c r="R34">
        <v>61128</v>
      </c>
      <c r="S34">
        <v>62968</v>
      </c>
      <c r="T34">
        <v>60820</v>
      </c>
      <c r="U34">
        <v>60945</v>
      </c>
      <c r="V34">
        <v>57398</v>
      </c>
      <c r="W34">
        <v>55053</v>
      </c>
      <c r="X34">
        <v>53465</v>
      </c>
      <c r="AH34" t="s">
        <v>88</v>
      </c>
      <c r="AR34" t="s">
        <v>92</v>
      </c>
      <c r="BL34" t="s">
        <v>100</v>
      </c>
    </row>
    <row r="35" spans="1:64" x14ac:dyDescent="0.25">
      <c r="A35" t="s">
        <v>34</v>
      </c>
      <c r="B35" t="s">
        <v>4</v>
      </c>
      <c r="C35">
        <v>78819</v>
      </c>
      <c r="D35">
        <v>80307</v>
      </c>
      <c r="E35">
        <v>73482</v>
      </c>
      <c r="F35">
        <v>70559</v>
      </c>
      <c r="G35">
        <v>67074</v>
      </c>
      <c r="H35">
        <v>63870</v>
      </c>
      <c r="I35">
        <v>60828</v>
      </c>
      <c r="J35">
        <v>64369</v>
      </c>
      <c r="K35">
        <v>60534</v>
      </c>
      <c r="L35">
        <v>58407</v>
      </c>
      <c r="M35">
        <v>54415</v>
      </c>
      <c r="N35">
        <v>54994</v>
      </c>
      <c r="O35">
        <v>56293</v>
      </c>
      <c r="P35">
        <v>59102</v>
      </c>
      <c r="Q35">
        <v>59265</v>
      </c>
      <c r="R35">
        <v>59284</v>
      </c>
      <c r="S35">
        <v>60050</v>
      </c>
      <c r="T35">
        <v>61793</v>
      </c>
      <c r="U35">
        <v>59732</v>
      </c>
      <c r="V35">
        <v>59919</v>
      </c>
      <c r="W35">
        <v>56493</v>
      </c>
      <c r="X35">
        <v>54139</v>
      </c>
    </row>
    <row r="36" spans="1:64" x14ac:dyDescent="0.25">
      <c r="A36" t="s">
        <v>35</v>
      </c>
      <c r="B36" t="s">
        <v>4</v>
      </c>
      <c r="C36">
        <v>86341</v>
      </c>
      <c r="D36">
        <v>77704</v>
      </c>
      <c r="E36">
        <v>79215</v>
      </c>
      <c r="F36">
        <v>72539</v>
      </c>
      <c r="G36">
        <v>69509</v>
      </c>
      <c r="H36">
        <v>65993</v>
      </c>
      <c r="I36">
        <v>62854</v>
      </c>
      <c r="J36">
        <v>59790</v>
      </c>
      <c r="K36">
        <v>63278</v>
      </c>
      <c r="L36">
        <v>59480</v>
      </c>
      <c r="M36">
        <v>57428</v>
      </c>
      <c r="N36">
        <v>53488</v>
      </c>
      <c r="O36">
        <v>54115</v>
      </c>
      <c r="P36">
        <v>55340</v>
      </c>
      <c r="Q36">
        <v>58106</v>
      </c>
      <c r="R36">
        <v>58217</v>
      </c>
      <c r="S36">
        <v>58256</v>
      </c>
      <c r="T36">
        <v>58922</v>
      </c>
      <c r="U36">
        <v>60777</v>
      </c>
      <c r="V36">
        <v>58695</v>
      </c>
      <c r="W36">
        <v>58982</v>
      </c>
      <c r="X36">
        <v>55600</v>
      </c>
    </row>
    <row r="37" spans="1:64" x14ac:dyDescent="0.25">
      <c r="A37" t="s">
        <v>36</v>
      </c>
      <c r="B37" t="s">
        <v>4</v>
      </c>
      <c r="C37">
        <v>89096</v>
      </c>
      <c r="D37">
        <v>85231</v>
      </c>
      <c r="E37">
        <v>76684</v>
      </c>
      <c r="F37">
        <v>78096</v>
      </c>
      <c r="G37">
        <v>71477</v>
      </c>
      <c r="H37">
        <v>68420</v>
      </c>
      <c r="I37">
        <v>64950</v>
      </c>
      <c r="J37">
        <v>61836</v>
      </c>
      <c r="K37">
        <v>58827</v>
      </c>
      <c r="L37">
        <v>62239</v>
      </c>
      <c r="M37">
        <v>58544</v>
      </c>
      <c r="N37">
        <v>56568</v>
      </c>
      <c r="O37">
        <v>52735</v>
      </c>
      <c r="P37">
        <v>53181</v>
      </c>
      <c r="Q37">
        <v>54461</v>
      </c>
      <c r="R37">
        <v>57155</v>
      </c>
      <c r="S37">
        <v>57260</v>
      </c>
      <c r="T37">
        <v>57227</v>
      </c>
      <c r="U37">
        <v>58028</v>
      </c>
      <c r="V37">
        <v>59812</v>
      </c>
      <c r="W37">
        <v>57840</v>
      </c>
      <c r="X37">
        <v>58024</v>
      </c>
    </row>
    <row r="38" spans="1:64" x14ac:dyDescent="0.25">
      <c r="A38" t="s">
        <v>37</v>
      </c>
      <c r="B38" t="s">
        <v>4</v>
      </c>
      <c r="C38">
        <v>88738</v>
      </c>
      <c r="D38">
        <v>87980</v>
      </c>
      <c r="E38">
        <v>84188</v>
      </c>
      <c r="F38">
        <v>75629</v>
      </c>
      <c r="G38">
        <v>76958</v>
      </c>
      <c r="H38">
        <v>70405</v>
      </c>
      <c r="I38">
        <v>67404</v>
      </c>
      <c r="J38">
        <v>63914</v>
      </c>
      <c r="K38">
        <v>60804</v>
      </c>
      <c r="L38">
        <v>57891</v>
      </c>
      <c r="M38">
        <v>61307</v>
      </c>
      <c r="N38">
        <v>57683</v>
      </c>
      <c r="O38">
        <v>55686</v>
      </c>
      <c r="P38">
        <v>51921</v>
      </c>
      <c r="Q38">
        <v>52324</v>
      </c>
      <c r="R38">
        <v>53608</v>
      </c>
      <c r="S38">
        <v>56261</v>
      </c>
      <c r="T38">
        <v>56293</v>
      </c>
      <c r="U38">
        <v>56297</v>
      </c>
      <c r="V38">
        <v>57113</v>
      </c>
      <c r="W38">
        <v>58940</v>
      </c>
      <c r="X38">
        <v>56994</v>
      </c>
    </row>
    <row r="39" spans="1:64" x14ac:dyDescent="0.25">
      <c r="A39" t="s">
        <v>38</v>
      </c>
      <c r="B39" t="s">
        <v>4</v>
      </c>
      <c r="C39">
        <v>84052</v>
      </c>
      <c r="D39">
        <v>87521</v>
      </c>
      <c r="E39">
        <v>86813</v>
      </c>
      <c r="F39">
        <v>83111</v>
      </c>
      <c r="G39">
        <v>74560</v>
      </c>
      <c r="H39">
        <v>75823</v>
      </c>
      <c r="I39">
        <v>69363</v>
      </c>
      <c r="J39">
        <v>66395</v>
      </c>
      <c r="K39">
        <v>62958</v>
      </c>
      <c r="L39">
        <v>59842</v>
      </c>
      <c r="M39">
        <v>56958</v>
      </c>
      <c r="N39">
        <v>60333</v>
      </c>
      <c r="O39">
        <v>56859</v>
      </c>
      <c r="P39">
        <v>54868</v>
      </c>
      <c r="Q39">
        <v>51171</v>
      </c>
      <c r="R39">
        <v>51564</v>
      </c>
      <c r="S39">
        <v>52785</v>
      </c>
      <c r="T39">
        <v>55323</v>
      </c>
      <c r="U39">
        <v>55410</v>
      </c>
      <c r="V39">
        <v>55489</v>
      </c>
      <c r="W39">
        <v>56268</v>
      </c>
      <c r="X39">
        <v>58075</v>
      </c>
    </row>
    <row r="40" spans="1:64" x14ac:dyDescent="0.25">
      <c r="A40" t="s">
        <v>39</v>
      </c>
      <c r="B40" t="s">
        <v>4</v>
      </c>
      <c r="C40">
        <v>83235</v>
      </c>
      <c r="D40">
        <v>82964</v>
      </c>
      <c r="E40">
        <v>86378</v>
      </c>
      <c r="F40">
        <v>85723</v>
      </c>
      <c r="G40">
        <v>81966</v>
      </c>
      <c r="H40">
        <v>73464</v>
      </c>
      <c r="I40">
        <v>74730</v>
      </c>
      <c r="J40">
        <v>68324</v>
      </c>
      <c r="K40">
        <v>65414</v>
      </c>
      <c r="L40">
        <v>62011</v>
      </c>
      <c r="M40">
        <v>58972</v>
      </c>
      <c r="N40">
        <v>56112</v>
      </c>
      <c r="O40">
        <v>59491</v>
      </c>
      <c r="P40">
        <v>56039</v>
      </c>
      <c r="Q40">
        <v>54117</v>
      </c>
      <c r="R40">
        <v>50402</v>
      </c>
      <c r="S40">
        <v>50771</v>
      </c>
      <c r="T40">
        <v>51950</v>
      </c>
      <c r="U40">
        <v>54445</v>
      </c>
      <c r="V40">
        <v>54574</v>
      </c>
      <c r="W40">
        <v>54770</v>
      </c>
      <c r="X40">
        <v>55459</v>
      </c>
    </row>
    <row r="41" spans="1:64" x14ac:dyDescent="0.25">
      <c r="A41" t="s">
        <v>40</v>
      </c>
      <c r="B41" t="s">
        <v>4</v>
      </c>
      <c r="C41">
        <v>81168</v>
      </c>
      <c r="D41">
        <v>82046</v>
      </c>
      <c r="E41">
        <v>81822</v>
      </c>
      <c r="F41">
        <v>85157</v>
      </c>
      <c r="G41">
        <v>84512</v>
      </c>
      <c r="H41">
        <v>80835</v>
      </c>
      <c r="I41">
        <v>72338</v>
      </c>
      <c r="J41">
        <v>73665</v>
      </c>
      <c r="K41">
        <v>67309</v>
      </c>
      <c r="L41">
        <v>64439</v>
      </c>
      <c r="M41">
        <v>61124</v>
      </c>
      <c r="N41">
        <v>58098</v>
      </c>
      <c r="O41">
        <v>55306</v>
      </c>
      <c r="P41">
        <v>58651</v>
      </c>
      <c r="Q41">
        <v>55252</v>
      </c>
      <c r="R41">
        <v>53364</v>
      </c>
      <c r="S41">
        <v>49682</v>
      </c>
      <c r="T41">
        <v>50026</v>
      </c>
      <c r="U41">
        <v>51112</v>
      </c>
      <c r="V41">
        <v>53680</v>
      </c>
      <c r="W41">
        <v>53829</v>
      </c>
      <c r="X41">
        <v>53998</v>
      </c>
    </row>
    <row r="42" spans="1:64" x14ac:dyDescent="0.25">
      <c r="A42" t="s">
        <v>41</v>
      </c>
      <c r="B42" t="s">
        <v>4</v>
      </c>
      <c r="C42">
        <v>77595</v>
      </c>
      <c r="D42">
        <v>80053</v>
      </c>
      <c r="E42">
        <v>80953</v>
      </c>
      <c r="F42">
        <v>80722</v>
      </c>
      <c r="G42">
        <v>83968</v>
      </c>
      <c r="H42">
        <v>83313</v>
      </c>
      <c r="I42">
        <v>79650</v>
      </c>
      <c r="J42">
        <v>71263</v>
      </c>
      <c r="K42">
        <v>72571</v>
      </c>
      <c r="L42">
        <v>66373</v>
      </c>
      <c r="M42">
        <v>63527</v>
      </c>
      <c r="N42">
        <v>60268</v>
      </c>
      <c r="O42">
        <v>57296</v>
      </c>
      <c r="P42">
        <v>54544</v>
      </c>
      <c r="Q42">
        <v>57848</v>
      </c>
      <c r="R42">
        <v>54482</v>
      </c>
      <c r="S42">
        <v>52609</v>
      </c>
      <c r="T42">
        <v>49011</v>
      </c>
      <c r="U42">
        <v>49314</v>
      </c>
      <c r="V42">
        <v>50432</v>
      </c>
      <c r="W42">
        <v>52885</v>
      </c>
      <c r="X42">
        <v>53133</v>
      </c>
    </row>
    <row r="43" spans="1:64" x14ac:dyDescent="0.25">
      <c r="A43" t="s">
        <v>42</v>
      </c>
      <c r="B43" t="s">
        <v>4</v>
      </c>
      <c r="C43">
        <v>74895</v>
      </c>
      <c r="D43">
        <v>76463</v>
      </c>
      <c r="E43">
        <v>78946</v>
      </c>
      <c r="F43">
        <v>79844</v>
      </c>
      <c r="G43">
        <v>79565</v>
      </c>
      <c r="H43">
        <v>82758</v>
      </c>
      <c r="I43">
        <v>82112</v>
      </c>
      <c r="J43">
        <v>78515</v>
      </c>
      <c r="K43">
        <v>70240</v>
      </c>
      <c r="L43">
        <v>71483</v>
      </c>
      <c r="M43">
        <v>65369</v>
      </c>
      <c r="N43">
        <v>62590</v>
      </c>
      <c r="O43">
        <v>59450</v>
      </c>
      <c r="P43">
        <v>56482</v>
      </c>
      <c r="Q43">
        <v>53820</v>
      </c>
      <c r="R43">
        <v>57031</v>
      </c>
      <c r="S43">
        <v>53702</v>
      </c>
      <c r="T43">
        <v>51798</v>
      </c>
      <c r="U43">
        <v>48321</v>
      </c>
      <c r="V43">
        <v>48656</v>
      </c>
      <c r="W43">
        <v>49731</v>
      </c>
      <c r="X43">
        <v>52157</v>
      </c>
    </row>
    <row r="44" spans="1:64" x14ac:dyDescent="0.25">
      <c r="A44" t="s">
        <v>43</v>
      </c>
      <c r="B44" t="s">
        <v>4</v>
      </c>
      <c r="C44">
        <v>69309</v>
      </c>
      <c r="D44">
        <v>73802</v>
      </c>
      <c r="E44">
        <v>75229</v>
      </c>
      <c r="F44">
        <v>77795</v>
      </c>
      <c r="G44">
        <v>78672</v>
      </c>
      <c r="H44">
        <v>78387</v>
      </c>
      <c r="I44">
        <v>81562</v>
      </c>
      <c r="J44">
        <v>80891</v>
      </c>
      <c r="K44">
        <v>77409</v>
      </c>
      <c r="L44">
        <v>69237</v>
      </c>
      <c r="M44">
        <v>70436</v>
      </c>
      <c r="N44">
        <v>64486</v>
      </c>
      <c r="O44">
        <v>61776</v>
      </c>
      <c r="P44">
        <v>58651</v>
      </c>
      <c r="Q44">
        <v>55720</v>
      </c>
      <c r="R44">
        <v>53063</v>
      </c>
      <c r="S44">
        <v>56280</v>
      </c>
      <c r="T44">
        <v>52996</v>
      </c>
      <c r="U44">
        <v>51112</v>
      </c>
      <c r="V44">
        <v>47661</v>
      </c>
      <c r="W44">
        <v>48040</v>
      </c>
      <c r="X44">
        <v>48997</v>
      </c>
    </row>
    <row r="45" spans="1:64" x14ac:dyDescent="0.25">
      <c r="A45" t="s">
        <v>44</v>
      </c>
      <c r="B45" t="s">
        <v>4</v>
      </c>
      <c r="C45">
        <v>63263</v>
      </c>
      <c r="D45">
        <v>68086</v>
      </c>
      <c r="E45">
        <v>72603</v>
      </c>
      <c r="F45">
        <v>73988</v>
      </c>
      <c r="G45">
        <v>76611</v>
      </c>
      <c r="H45">
        <v>77445</v>
      </c>
      <c r="I45">
        <v>77170</v>
      </c>
      <c r="J45">
        <v>80350</v>
      </c>
      <c r="K45">
        <v>79714</v>
      </c>
      <c r="L45">
        <v>76285</v>
      </c>
      <c r="M45">
        <v>68212</v>
      </c>
      <c r="N45">
        <v>69399</v>
      </c>
      <c r="O45">
        <v>63619</v>
      </c>
      <c r="P45">
        <v>60854</v>
      </c>
      <c r="Q45">
        <v>57934</v>
      </c>
      <c r="R45">
        <v>54915</v>
      </c>
      <c r="S45">
        <v>52338</v>
      </c>
      <c r="T45">
        <v>55489</v>
      </c>
      <c r="U45">
        <v>52263</v>
      </c>
      <c r="V45">
        <v>50428</v>
      </c>
      <c r="W45">
        <v>47059</v>
      </c>
      <c r="X45">
        <v>47326</v>
      </c>
    </row>
    <row r="46" spans="1:64" x14ac:dyDescent="0.25">
      <c r="A46" t="s">
        <v>45</v>
      </c>
      <c r="B46" t="s">
        <v>4</v>
      </c>
      <c r="C46">
        <v>60467</v>
      </c>
      <c r="D46">
        <v>62150</v>
      </c>
      <c r="E46">
        <v>66912</v>
      </c>
      <c r="F46">
        <v>71372</v>
      </c>
      <c r="G46">
        <v>72762</v>
      </c>
      <c r="H46">
        <v>75339</v>
      </c>
      <c r="I46">
        <v>76279</v>
      </c>
      <c r="J46">
        <v>75944</v>
      </c>
      <c r="K46">
        <v>79102</v>
      </c>
      <c r="L46">
        <v>78476</v>
      </c>
      <c r="M46">
        <v>75158</v>
      </c>
      <c r="N46">
        <v>67130</v>
      </c>
      <c r="O46">
        <v>68440</v>
      </c>
      <c r="P46">
        <v>62734</v>
      </c>
      <c r="Q46">
        <v>60039</v>
      </c>
      <c r="R46">
        <v>57151</v>
      </c>
      <c r="S46">
        <v>54129</v>
      </c>
      <c r="T46">
        <v>51604</v>
      </c>
      <c r="U46">
        <v>54712</v>
      </c>
      <c r="V46">
        <v>51532</v>
      </c>
      <c r="W46">
        <v>49714</v>
      </c>
      <c r="X46">
        <v>46440</v>
      </c>
    </row>
    <row r="47" spans="1:64" x14ac:dyDescent="0.25">
      <c r="A47" t="s">
        <v>46</v>
      </c>
      <c r="B47" t="s">
        <v>4</v>
      </c>
      <c r="C47">
        <v>58530</v>
      </c>
      <c r="D47">
        <v>59251</v>
      </c>
      <c r="E47">
        <v>60966</v>
      </c>
      <c r="F47">
        <v>65660</v>
      </c>
      <c r="G47">
        <v>70040</v>
      </c>
      <c r="H47">
        <v>71544</v>
      </c>
      <c r="I47">
        <v>74029</v>
      </c>
      <c r="J47">
        <v>74978</v>
      </c>
      <c r="K47">
        <v>74767</v>
      </c>
      <c r="L47">
        <v>77890</v>
      </c>
      <c r="M47">
        <v>77318</v>
      </c>
      <c r="N47">
        <v>74009</v>
      </c>
      <c r="O47">
        <v>66136</v>
      </c>
      <c r="P47">
        <v>67420</v>
      </c>
      <c r="Q47">
        <v>61860</v>
      </c>
      <c r="R47">
        <v>59108</v>
      </c>
      <c r="S47">
        <v>56316</v>
      </c>
      <c r="T47">
        <v>53368</v>
      </c>
      <c r="U47">
        <v>50885</v>
      </c>
      <c r="V47">
        <v>53996</v>
      </c>
      <c r="W47">
        <v>50808</v>
      </c>
      <c r="X47">
        <v>49048</v>
      </c>
      <c r="BB47" t="s">
        <v>97</v>
      </c>
    </row>
    <row r="48" spans="1:64" x14ac:dyDescent="0.25">
      <c r="A48" t="s">
        <v>47</v>
      </c>
      <c r="B48" t="s">
        <v>4</v>
      </c>
      <c r="C48">
        <v>55055</v>
      </c>
      <c r="D48">
        <v>57230</v>
      </c>
      <c r="E48">
        <v>58009</v>
      </c>
      <c r="F48">
        <v>59769</v>
      </c>
      <c r="G48">
        <v>64345</v>
      </c>
      <c r="H48">
        <v>68628</v>
      </c>
      <c r="I48">
        <v>70196</v>
      </c>
      <c r="J48">
        <v>72725</v>
      </c>
      <c r="K48">
        <v>73659</v>
      </c>
      <c r="L48">
        <v>73485</v>
      </c>
      <c r="M48">
        <v>76612</v>
      </c>
      <c r="N48">
        <v>76146</v>
      </c>
      <c r="O48">
        <v>72916</v>
      </c>
      <c r="P48">
        <v>65156</v>
      </c>
      <c r="Q48">
        <v>66424</v>
      </c>
      <c r="R48">
        <v>60961</v>
      </c>
      <c r="S48">
        <v>58228</v>
      </c>
      <c r="T48">
        <v>55488</v>
      </c>
      <c r="U48">
        <v>52563</v>
      </c>
      <c r="V48">
        <v>50129</v>
      </c>
      <c r="W48">
        <v>53231</v>
      </c>
      <c r="X48">
        <v>50060</v>
      </c>
      <c r="AH48" t="s">
        <v>89</v>
      </c>
    </row>
    <row r="49" spans="1:54" x14ac:dyDescent="0.25">
      <c r="A49" t="s">
        <v>48</v>
      </c>
      <c r="B49" t="s">
        <v>4</v>
      </c>
      <c r="C49">
        <v>53185</v>
      </c>
      <c r="D49">
        <v>53699</v>
      </c>
      <c r="E49">
        <v>55905</v>
      </c>
      <c r="F49">
        <v>56651</v>
      </c>
      <c r="G49">
        <v>58494</v>
      </c>
      <c r="H49">
        <v>62963</v>
      </c>
      <c r="I49">
        <v>67263</v>
      </c>
      <c r="J49">
        <v>68877</v>
      </c>
      <c r="K49">
        <v>71431</v>
      </c>
      <c r="L49">
        <v>72356</v>
      </c>
      <c r="M49">
        <v>72328</v>
      </c>
      <c r="N49">
        <v>75353</v>
      </c>
      <c r="O49">
        <v>74967</v>
      </c>
      <c r="P49">
        <v>71788</v>
      </c>
      <c r="Q49">
        <v>64090</v>
      </c>
      <c r="R49">
        <v>65448</v>
      </c>
      <c r="S49">
        <v>60081</v>
      </c>
      <c r="T49">
        <v>57319</v>
      </c>
      <c r="U49">
        <v>54603</v>
      </c>
      <c r="V49">
        <v>51768</v>
      </c>
      <c r="W49">
        <v>49381</v>
      </c>
      <c r="X49">
        <v>52464</v>
      </c>
      <c r="AR49" t="s">
        <v>93</v>
      </c>
    </row>
    <row r="50" spans="1:54" x14ac:dyDescent="0.25">
      <c r="A50" t="s">
        <v>49</v>
      </c>
      <c r="B50" t="s">
        <v>4</v>
      </c>
      <c r="C50">
        <v>53601</v>
      </c>
      <c r="D50">
        <v>51680</v>
      </c>
      <c r="E50">
        <v>52278</v>
      </c>
      <c r="F50">
        <v>54549</v>
      </c>
      <c r="G50">
        <v>55354</v>
      </c>
      <c r="H50">
        <v>57087</v>
      </c>
      <c r="I50">
        <v>61588</v>
      </c>
      <c r="J50">
        <v>65849</v>
      </c>
      <c r="K50">
        <v>67429</v>
      </c>
      <c r="L50">
        <v>70066</v>
      </c>
      <c r="M50">
        <v>70987</v>
      </c>
      <c r="N50">
        <v>71001</v>
      </c>
      <c r="O50">
        <v>74056</v>
      </c>
      <c r="P50">
        <v>73741</v>
      </c>
      <c r="Q50">
        <v>70647</v>
      </c>
      <c r="R50">
        <v>63021</v>
      </c>
      <c r="S50">
        <v>64378</v>
      </c>
      <c r="T50">
        <v>59156</v>
      </c>
      <c r="U50">
        <v>56392</v>
      </c>
      <c r="V50">
        <v>53778</v>
      </c>
      <c r="W50">
        <v>50935</v>
      </c>
      <c r="X50">
        <v>48587</v>
      </c>
    </row>
    <row r="51" spans="1:54" x14ac:dyDescent="0.25">
      <c r="A51" t="s">
        <v>50</v>
      </c>
      <c r="B51" t="s">
        <v>4</v>
      </c>
      <c r="C51">
        <v>52386</v>
      </c>
      <c r="D51">
        <v>51968</v>
      </c>
      <c r="E51">
        <v>50172</v>
      </c>
      <c r="F51">
        <v>50818</v>
      </c>
      <c r="G51">
        <v>53136</v>
      </c>
      <c r="H51">
        <v>53862</v>
      </c>
      <c r="I51">
        <v>55724</v>
      </c>
      <c r="J51">
        <v>60121</v>
      </c>
      <c r="K51">
        <v>64378</v>
      </c>
      <c r="L51">
        <v>65969</v>
      </c>
      <c r="M51">
        <v>68575</v>
      </c>
      <c r="N51">
        <v>69613</v>
      </c>
      <c r="O51">
        <v>69710</v>
      </c>
      <c r="P51">
        <v>72797</v>
      </c>
      <c r="Q51">
        <v>72410</v>
      </c>
      <c r="R51">
        <v>69508</v>
      </c>
      <c r="S51">
        <v>61941</v>
      </c>
      <c r="T51">
        <v>63318</v>
      </c>
      <c r="U51">
        <v>58166</v>
      </c>
      <c r="V51">
        <v>55360</v>
      </c>
      <c r="W51">
        <v>52915</v>
      </c>
      <c r="X51">
        <v>50090</v>
      </c>
    </row>
    <row r="52" spans="1:54" x14ac:dyDescent="0.25">
      <c r="A52" t="s">
        <v>51</v>
      </c>
      <c r="B52" t="s">
        <v>4</v>
      </c>
      <c r="C52">
        <v>49370</v>
      </c>
      <c r="D52">
        <v>50774</v>
      </c>
      <c r="E52">
        <v>50305</v>
      </c>
      <c r="F52">
        <v>48715</v>
      </c>
      <c r="G52">
        <v>49302</v>
      </c>
      <c r="H52">
        <v>51644</v>
      </c>
      <c r="I52">
        <v>52414</v>
      </c>
      <c r="J52">
        <v>54217</v>
      </c>
      <c r="K52">
        <v>58633</v>
      </c>
      <c r="L52">
        <v>62946</v>
      </c>
      <c r="M52">
        <v>64530</v>
      </c>
      <c r="N52">
        <v>67163</v>
      </c>
      <c r="O52">
        <v>68184</v>
      </c>
      <c r="P52">
        <v>68321</v>
      </c>
      <c r="Q52">
        <v>71492</v>
      </c>
      <c r="R52">
        <v>71102</v>
      </c>
      <c r="S52">
        <v>68175</v>
      </c>
      <c r="T52">
        <v>60842</v>
      </c>
      <c r="U52">
        <v>62158</v>
      </c>
      <c r="V52">
        <v>57075</v>
      </c>
      <c r="W52">
        <v>54409</v>
      </c>
      <c r="X52">
        <v>51923</v>
      </c>
    </row>
    <row r="53" spans="1:54" x14ac:dyDescent="0.25">
      <c r="A53" t="s">
        <v>52</v>
      </c>
      <c r="B53" t="s">
        <v>4</v>
      </c>
      <c r="C53">
        <v>45430</v>
      </c>
      <c r="D53">
        <v>47569</v>
      </c>
      <c r="E53">
        <v>49059</v>
      </c>
      <c r="F53">
        <v>48571</v>
      </c>
      <c r="G53">
        <v>47147</v>
      </c>
      <c r="H53">
        <v>47772</v>
      </c>
      <c r="I53">
        <v>50100</v>
      </c>
      <c r="J53">
        <v>50960</v>
      </c>
      <c r="K53">
        <v>52721</v>
      </c>
      <c r="L53">
        <v>57109</v>
      </c>
      <c r="M53">
        <v>61481</v>
      </c>
      <c r="N53">
        <v>63013</v>
      </c>
      <c r="O53">
        <v>65682</v>
      </c>
      <c r="P53">
        <v>66773</v>
      </c>
      <c r="Q53">
        <v>66899</v>
      </c>
      <c r="R53">
        <v>70027</v>
      </c>
      <c r="S53">
        <v>69705</v>
      </c>
      <c r="T53">
        <v>66883</v>
      </c>
      <c r="U53">
        <v>59643</v>
      </c>
      <c r="V53">
        <v>60971</v>
      </c>
      <c r="W53">
        <v>55958</v>
      </c>
      <c r="X53">
        <v>53335</v>
      </c>
    </row>
    <row r="54" spans="1:54" x14ac:dyDescent="0.25">
      <c r="A54" t="s">
        <v>53</v>
      </c>
      <c r="B54" t="s">
        <v>4</v>
      </c>
      <c r="C54">
        <v>42561</v>
      </c>
      <c r="D54">
        <v>43565</v>
      </c>
      <c r="E54">
        <v>45713</v>
      </c>
      <c r="F54">
        <v>47186</v>
      </c>
      <c r="G54">
        <v>46800</v>
      </c>
      <c r="H54">
        <v>45516</v>
      </c>
      <c r="I54">
        <v>46248</v>
      </c>
      <c r="J54">
        <v>48578</v>
      </c>
      <c r="K54">
        <v>49415</v>
      </c>
      <c r="L54">
        <v>51258</v>
      </c>
      <c r="M54">
        <v>55623</v>
      </c>
      <c r="N54">
        <v>59945</v>
      </c>
      <c r="O54">
        <v>61542</v>
      </c>
      <c r="P54">
        <v>64109</v>
      </c>
      <c r="Q54">
        <v>65321</v>
      </c>
      <c r="R54">
        <v>65403</v>
      </c>
      <c r="S54">
        <v>68615</v>
      </c>
      <c r="T54">
        <v>68333</v>
      </c>
      <c r="U54">
        <v>65559</v>
      </c>
      <c r="V54">
        <v>58472</v>
      </c>
      <c r="W54">
        <v>59771</v>
      </c>
      <c r="X54">
        <v>54889</v>
      </c>
    </row>
    <row r="55" spans="1:54" x14ac:dyDescent="0.25">
      <c r="A55" t="s">
        <v>54</v>
      </c>
      <c r="B55" t="s">
        <v>4</v>
      </c>
      <c r="C55">
        <v>38497</v>
      </c>
      <c r="D55">
        <v>40718</v>
      </c>
      <c r="E55">
        <v>41643</v>
      </c>
      <c r="F55">
        <v>43828</v>
      </c>
      <c r="G55">
        <v>45353</v>
      </c>
      <c r="H55">
        <v>44939</v>
      </c>
      <c r="I55">
        <v>43809</v>
      </c>
      <c r="J55">
        <v>44620</v>
      </c>
      <c r="K55">
        <v>46989</v>
      </c>
      <c r="L55">
        <v>47969</v>
      </c>
      <c r="M55">
        <v>49617</v>
      </c>
      <c r="N55">
        <v>54093</v>
      </c>
      <c r="O55">
        <v>58344</v>
      </c>
      <c r="P55">
        <v>59964</v>
      </c>
      <c r="Q55">
        <v>62512</v>
      </c>
      <c r="R55">
        <v>63726</v>
      </c>
      <c r="S55">
        <v>63882</v>
      </c>
      <c r="T55">
        <v>67076</v>
      </c>
      <c r="U55">
        <v>66816</v>
      </c>
      <c r="V55">
        <v>64171</v>
      </c>
      <c r="W55">
        <v>57191</v>
      </c>
      <c r="X55">
        <v>58428</v>
      </c>
    </row>
    <row r="56" spans="1:54" x14ac:dyDescent="0.25">
      <c r="A56" t="s">
        <v>55</v>
      </c>
      <c r="B56" t="s">
        <v>4</v>
      </c>
      <c r="C56">
        <v>36598</v>
      </c>
      <c r="D56">
        <v>36658</v>
      </c>
      <c r="E56">
        <v>38835</v>
      </c>
      <c r="F56">
        <v>39678</v>
      </c>
      <c r="G56">
        <v>41853</v>
      </c>
      <c r="H56">
        <v>43422</v>
      </c>
      <c r="I56">
        <v>43193</v>
      </c>
      <c r="J56">
        <v>42097</v>
      </c>
      <c r="K56">
        <v>43010</v>
      </c>
      <c r="L56">
        <v>45469</v>
      </c>
      <c r="M56">
        <v>46442</v>
      </c>
      <c r="N56">
        <v>48098</v>
      </c>
      <c r="O56">
        <v>52513</v>
      </c>
      <c r="P56">
        <v>56695</v>
      </c>
      <c r="Q56">
        <v>58255</v>
      </c>
      <c r="R56">
        <v>60797</v>
      </c>
      <c r="S56">
        <v>62079</v>
      </c>
      <c r="T56">
        <v>62373</v>
      </c>
      <c r="U56">
        <v>65321</v>
      </c>
      <c r="V56">
        <v>65177</v>
      </c>
      <c r="W56">
        <v>62632</v>
      </c>
      <c r="X56">
        <v>55862</v>
      </c>
    </row>
    <row r="57" spans="1:54" x14ac:dyDescent="0.25">
      <c r="A57" t="s">
        <v>56</v>
      </c>
      <c r="B57" t="s">
        <v>4</v>
      </c>
      <c r="C57">
        <v>34765</v>
      </c>
      <c r="D57">
        <v>34633</v>
      </c>
      <c r="E57">
        <v>34621</v>
      </c>
      <c r="F57">
        <v>36823</v>
      </c>
      <c r="G57">
        <v>37727</v>
      </c>
      <c r="H57">
        <v>39751</v>
      </c>
      <c r="I57">
        <v>41393</v>
      </c>
      <c r="J57">
        <v>41374</v>
      </c>
      <c r="K57">
        <v>40389</v>
      </c>
      <c r="L57">
        <v>41329</v>
      </c>
      <c r="M57">
        <v>43854</v>
      </c>
      <c r="N57">
        <v>44857</v>
      </c>
      <c r="O57">
        <v>46503</v>
      </c>
      <c r="P57">
        <v>50844</v>
      </c>
      <c r="Q57">
        <v>54907</v>
      </c>
      <c r="R57">
        <v>56535</v>
      </c>
      <c r="S57">
        <v>59105</v>
      </c>
      <c r="T57">
        <v>60396</v>
      </c>
      <c r="U57">
        <v>60738</v>
      </c>
      <c r="V57">
        <v>63618</v>
      </c>
      <c r="W57">
        <v>63558</v>
      </c>
      <c r="X57">
        <v>61043</v>
      </c>
    </row>
    <row r="58" spans="1:54" x14ac:dyDescent="0.25">
      <c r="A58" t="s">
        <v>57</v>
      </c>
      <c r="B58" t="s">
        <v>4</v>
      </c>
      <c r="C58">
        <v>29337</v>
      </c>
      <c r="D58">
        <v>32599</v>
      </c>
      <c r="E58">
        <v>32597</v>
      </c>
      <c r="F58">
        <v>32633</v>
      </c>
      <c r="G58">
        <v>34777</v>
      </c>
      <c r="H58">
        <v>35663</v>
      </c>
      <c r="I58">
        <v>37713</v>
      </c>
      <c r="J58">
        <v>39452</v>
      </c>
      <c r="K58">
        <v>39560</v>
      </c>
      <c r="L58">
        <v>38694</v>
      </c>
      <c r="M58">
        <v>39644</v>
      </c>
      <c r="N58">
        <v>42160</v>
      </c>
      <c r="O58">
        <v>43214</v>
      </c>
      <c r="P58">
        <v>44852</v>
      </c>
      <c r="Q58">
        <v>49106</v>
      </c>
      <c r="R58">
        <v>53092</v>
      </c>
      <c r="S58">
        <v>54768</v>
      </c>
      <c r="T58">
        <v>57284</v>
      </c>
      <c r="U58">
        <v>58672</v>
      </c>
      <c r="V58">
        <v>59020</v>
      </c>
      <c r="W58">
        <v>61842</v>
      </c>
      <c r="X58">
        <v>61838</v>
      </c>
    </row>
    <row r="59" spans="1:54" x14ac:dyDescent="0.25">
      <c r="A59" t="s">
        <v>58</v>
      </c>
      <c r="B59" t="s">
        <v>4</v>
      </c>
      <c r="C59">
        <v>26223</v>
      </c>
      <c r="D59">
        <v>27391</v>
      </c>
      <c r="E59">
        <v>30488</v>
      </c>
      <c r="F59">
        <v>30573</v>
      </c>
      <c r="G59">
        <v>30621</v>
      </c>
      <c r="H59">
        <v>32702</v>
      </c>
      <c r="I59">
        <v>33675</v>
      </c>
      <c r="J59">
        <v>35638</v>
      </c>
      <c r="K59">
        <v>37406</v>
      </c>
      <c r="L59">
        <v>37689</v>
      </c>
      <c r="M59">
        <v>36921</v>
      </c>
      <c r="N59">
        <v>37890</v>
      </c>
      <c r="O59">
        <v>40380</v>
      </c>
      <c r="P59">
        <v>41493</v>
      </c>
      <c r="Q59">
        <v>43180</v>
      </c>
      <c r="R59">
        <v>47315</v>
      </c>
      <c r="S59">
        <v>51113</v>
      </c>
      <c r="T59">
        <v>53029</v>
      </c>
      <c r="U59">
        <v>55399</v>
      </c>
      <c r="V59">
        <v>56835</v>
      </c>
      <c r="W59">
        <v>57241</v>
      </c>
      <c r="X59">
        <v>59989</v>
      </c>
    </row>
    <row r="60" spans="1:54" x14ac:dyDescent="0.25">
      <c r="A60" t="s">
        <v>59</v>
      </c>
      <c r="B60" t="s">
        <v>4</v>
      </c>
      <c r="C60">
        <v>25100</v>
      </c>
      <c r="D60">
        <v>24275</v>
      </c>
      <c r="E60">
        <v>25292</v>
      </c>
      <c r="F60">
        <v>28314</v>
      </c>
      <c r="G60">
        <v>28490</v>
      </c>
      <c r="H60">
        <v>28552</v>
      </c>
      <c r="I60">
        <v>30511</v>
      </c>
      <c r="J60">
        <v>31741</v>
      </c>
      <c r="K60">
        <v>33581</v>
      </c>
      <c r="L60">
        <v>35345</v>
      </c>
      <c r="M60">
        <v>35783</v>
      </c>
      <c r="N60">
        <v>35157</v>
      </c>
      <c r="O60">
        <v>36075</v>
      </c>
      <c r="P60">
        <v>38593</v>
      </c>
      <c r="Q60">
        <v>39805</v>
      </c>
      <c r="R60">
        <v>41409</v>
      </c>
      <c r="S60">
        <v>45441</v>
      </c>
      <c r="T60">
        <v>49127</v>
      </c>
      <c r="U60">
        <v>51058</v>
      </c>
      <c r="V60">
        <v>53424</v>
      </c>
      <c r="W60">
        <v>54941</v>
      </c>
      <c r="X60">
        <v>55341</v>
      </c>
    </row>
    <row r="61" spans="1:54" x14ac:dyDescent="0.25">
      <c r="A61" t="s">
        <v>60</v>
      </c>
      <c r="B61" t="s">
        <v>4</v>
      </c>
      <c r="C61">
        <v>25892</v>
      </c>
      <c r="D61">
        <v>23027</v>
      </c>
      <c r="E61">
        <v>22331</v>
      </c>
      <c r="F61">
        <v>23216</v>
      </c>
      <c r="G61">
        <v>26106</v>
      </c>
      <c r="H61">
        <v>26340</v>
      </c>
      <c r="I61">
        <v>26532</v>
      </c>
      <c r="J61">
        <v>28437</v>
      </c>
      <c r="K61">
        <v>29707</v>
      </c>
      <c r="L61">
        <v>31587</v>
      </c>
      <c r="M61">
        <v>33283</v>
      </c>
      <c r="N61">
        <v>33851</v>
      </c>
      <c r="O61">
        <v>33278</v>
      </c>
      <c r="P61">
        <v>34221</v>
      </c>
      <c r="Q61">
        <v>36724</v>
      </c>
      <c r="R61">
        <v>37982</v>
      </c>
      <c r="S61">
        <v>39517</v>
      </c>
      <c r="T61">
        <v>43565</v>
      </c>
      <c r="U61">
        <v>46985</v>
      </c>
      <c r="V61">
        <v>49023</v>
      </c>
      <c r="W61">
        <v>51466</v>
      </c>
      <c r="X61">
        <v>52939</v>
      </c>
    </row>
    <row r="62" spans="1:54" x14ac:dyDescent="0.25">
      <c r="A62" t="s">
        <v>61</v>
      </c>
      <c r="B62" t="s">
        <v>4</v>
      </c>
      <c r="C62">
        <v>25407</v>
      </c>
      <c r="D62">
        <v>23566</v>
      </c>
      <c r="E62">
        <v>20948</v>
      </c>
      <c r="F62">
        <v>20353</v>
      </c>
      <c r="G62">
        <v>21249</v>
      </c>
      <c r="H62">
        <v>23950</v>
      </c>
      <c r="I62">
        <v>24251</v>
      </c>
      <c r="J62">
        <v>24537</v>
      </c>
      <c r="K62">
        <v>26355</v>
      </c>
      <c r="L62">
        <v>27723</v>
      </c>
      <c r="M62">
        <v>29553</v>
      </c>
      <c r="N62">
        <v>31292</v>
      </c>
      <c r="O62">
        <v>31866</v>
      </c>
      <c r="P62">
        <v>31402</v>
      </c>
      <c r="Q62">
        <v>32425</v>
      </c>
      <c r="R62">
        <v>34799</v>
      </c>
      <c r="S62">
        <v>36110</v>
      </c>
      <c r="T62">
        <v>37589</v>
      </c>
      <c r="U62">
        <v>41510</v>
      </c>
      <c r="V62">
        <v>44878</v>
      </c>
      <c r="W62">
        <v>46919</v>
      </c>
      <c r="X62">
        <v>49353</v>
      </c>
      <c r="AH62" t="s">
        <v>90</v>
      </c>
    </row>
    <row r="63" spans="1:54" x14ac:dyDescent="0.25">
      <c r="A63" t="s">
        <v>62</v>
      </c>
      <c r="B63" t="s">
        <v>4</v>
      </c>
      <c r="C63">
        <v>15779</v>
      </c>
      <c r="D63">
        <v>22907</v>
      </c>
      <c r="E63">
        <v>21273</v>
      </c>
      <c r="F63">
        <v>18804</v>
      </c>
      <c r="G63">
        <v>18408</v>
      </c>
      <c r="H63">
        <v>19254</v>
      </c>
      <c r="I63">
        <v>21824</v>
      </c>
      <c r="J63">
        <v>22279</v>
      </c>
      <c r="K63">
        <v>22591</v>
      </c>
      <c r="L63">
        <v>24405</v>
      </c>
      <c r="M63">
        <v>25731</v>
      </c>
      <c r="N63">
        <v>27511</v>
      </c>
      <c r="O63">
        <v>29202</v>
      </c>
      <c r="P63">
        <v>29850</v>
      </c>
      <c r="Q63">
        <v>29479</v>
      </c>
      <c r="R63">
        <v>30522</v>
      </c>
      <c r="S63">
        <v>32845</v>
      </c>
      <c r="T63">
        <v>34133</v>
      </c>
      <c r="U63">
        <v>35570</v>
      </c>
      <c r="V63">
        <v>39393</v>
      </c>
      <c r="W63">
        <v>42671</v>
      </c>
      <c r="X63">
        <v>44697</v>
      </c>
      <c r="AR63" t="s">
        <v>94</v>
      </c>
    </row>
    <row r="64" spans="1:54" x14ac:dyDescent="0.25">
      <c r="A64" t="s">
        <v>63</v>
      </c>
      <c r="B64" t="s">
        <v>4</v>
      </c>
      <c r="C64">
        <v>9295</v>
      </c>
      <c r="D64">
        <v>14177</v>
      </c>
      <c r="E64">
        <v>20499</v>
      </c>
      <c r="F64">
        <v>19026</v>
      </c>
      <c r="G64">
        <v>16942</v>
      </c>
      <c r="H64">
        <v>16477</v>
      </c>
      <c r="I64">
        <v>17400</v>
      </c>
      <c r="J64">
        <v>19808</v>
      </c>
      <c r="K64">
        <v>20244</v>
      </c>
      <c r="L64">
        <v>20669</v>
      </c>
      <c r="M64">
        <v>22427</v>
      </c>
      <c r="N64">
        <v>23711</v>
      </c>
      <c r="O64">
        <v>25505</v>
      </c>
      <c r="P64">
        <v>27081</v>
      </c>
      <c r="Q64">
        <v>27838</v>
      </c>
      <c r="R64">
        <v>27548</v>
      </c>
      <c r="S64">
        <v>28623</v>
      </c>
      <c r="T64">
        <v>30844</v>
      </c>
      <c r="U64">
        <v>32117</v>
      </c>
      <c r="V64">
        <v>33511</v>
      </c>
      <c r="W64">
        <v>37169</v>
      </c>
      <c r="X64">
        <v>40333</v>
      </c>
      <c r="BB64" t="s">
        <v>98</v>
      </c>
    </row>
    <row r="65" spans="1:24" x14ac:dyDescent="0.25">
      <c r="A65" t="s">
        <v>64</v>
      </c>
      <c r="B65" t="s">
        <v>4</v>
      </c>
      <c r="C65">
        <v>10933</v>
      </c>
      <c r="D65">
        <v>8213</v>
      </c>
      <c r="E65">
        <v>12603</v>
      </c>
      <c r="F65">
        <v>18230</v>
      </c>
      <c r="G65">
        <v>16885</v>
      </c>
      <c r="H65">
        <v>15001</v>
      </c>
      <c r="I65">
        <v>14646</v>
      </c>
      <c r="J65">
        <v>15548</v>
      </c>
      <c r="K65">
        <v>17797</v>
      </c>
      <c r="L65">
        <v>18329</v>
      </c>
      <c r="M65">
        <v>18805</v>
      </c>
      <c r="N65">
        <v>20504</v>
      </c>
      <c r="O65">
        <v>21630</v>
      </c>
      <c r="P65">
        <v>23410</v>
      </c>
      <c r="Q65">
        <v>25019</v>
      </c>
      <c r="R65">
        <v>25735</v>
      </c>
      <c r="S65">
        <v>25591</v>
      </c>
      <c r="T65">
        <v>26649</v>
      </c>
      <c r="U65">
        <v>28701</v>
      </c>
      <c r="V65">
        <v>29959</v>
      </c>
      <c r="W65">
        <v>31413</v>
      </c>
      <c r="X65">
        <v>34862</v>
      </c>
    </row>
    <row r="66" spans="1:24" x14ac:dyDescent="0.25">
      <c r="A66" t="s">
        <v>65</v>
      </c>
      <c r="B66" t="s">
        <v>4</v>
      </c>
      <c r="C66">
        <v>13028</v>
      </c>
      <c r="D66">
        <v>9625</v>
      </c>
      <c r="E66">
        <v>7217</v>
      </c>
      <c r="F66">
        <v>11080</v>
      </c>
      <c r="G66">
        <v>15950</v>
      </c>
      <c r="H66">
        <v>14866</v>
      </c>
      <c r="I66">
        <v>13143</v>
      </c>
      <c r="J66">
        <v>12958</v>
      </c>
      <c r="K66">
        <v>13745</v>
      </c>
      <c r="L66">
        <v>15982</v>
      </c>
      <c r="M66">
        <v>16492</v>
      </c>
      <c r="N66">
        <v>16990</v>
      </c>
      <c r="O66">
        <v>18529</v>
      </c>
      <c r="P66">
        <v>19643</v>
      </c>
      <c r="Q66">
        <v>21293</v>
      </c>
      <c r="R66">
        <v>22793</v>
      </c>
      <c r="S66">
        <v>23671</v>
      </c>
      <c r="T66">
        <v>23625</v>
      </c>
      <c r="U66">
        <v>24556</v>
      </c>
      <c r="V66">
        <v>26606</v>
      </c>
      <c r="W66">
        <v>27728</v>
      </c>
      <c r="X66">
        <v>29240</v>
      </c>
    </row>
    <row r="67" spans="1:24" x14ac:dyDescent="0.25">
      <c r="A67" t="s">
        <v>66</v>
      </c>
      <c r="B67" t="s">
        <v>4</v>
      </c>
      <c r="C67">
        <v>7840</v>
      </c>
      <c r="D67">
        <v>11255</v>
      </c>
      <c r="E67">
        <v>8324</v>
      </c>
      <c r="F67">
        <v>6249</v>
      </c>
      <c r="G67">
        <v>9563</v>
      </c>
      <c r="H67">
        <v>13844</v>
      </c>
      <c r="I67">
        <v>12934</v>
      </c>
      <c r="J67">
        <v>11477</v>
      </c>
      <c r="K67">
        <v>11325</v>
      </c>
      <c r="L67">
        <v>12091</v>
      </c>
      <c r="M67">
        <v>14237</v>
      </c>
      <c r="N67">
        <v>14686</v>
      </c>
      <c r="O67">
        <v>15258</v>
      </c>
      <c r="P67">
        <v>16574</v>
      </c>
      <c r="Q67">
        <v>17606</v>
      </c>
      <c r="R67">
        <v>19273</v>
      </c>
      <c r="S67">
        <v>20645</v>
      </c>
      <c r="T67">
        <v>21567</v>
      </c>
      <c r="U67">
        <v>21469</v>
      </c>
      <c r="V67">
        <v>22422</v>
      </c>
      <c r="W67">
        <v>24506</v>
      </c>
      <c r="X67">
        <v>25510</v>
      </c>
    </row>
    <row r="68" spans="1:24" x14ac:dyDescent="0.25">
      <c r="A68" t="s">
        <v>67</v>
      </c>
      <c r="B68" t="s">
        <v>4</v>
      </c>
      <c r="C68">
        <v>6575</v>
      </c>
      <c r="D68">
        <v>6695</v>
      </c>
      <c r="E68">
        <v>9721</v>
      </c>
      <c r="F68">
        <v>7116</v>
      </c>
      <c r="G68">
        <v>5407</v>
      </c>
      <c r="H68">
        <v>8182</v>
      </c>
      <c r="I68">
        <v>11933</v>
      </c>
      <c r="J68">
        <v>11105</v>
      </c>
      <c r="K68">
        <v>9980</v>
      </c>
      <c r="L68">
        <v>9848</v>
      </c>
      <c r="M68">
        <v>10574</v>
      </c>
      <c r="N68">
        <v>12534</v>
      </c>
      <c r="O68">
        <v>12999</v>
      </c>
      <c r="P68">
        <v>13585</v>
      </c>
      <c r="Q68">
        <v>14809</v>
      </c>
      <c r="R68">
        <v>15630</v>
      </c>
      <c r="S68">
        <v>17165</v>
      </c>
      <c r="T68">
        <v>18568</v>
      </c>
      <c r="U68">
        <v>19420</v>
      </c>
      <c r="V68">
        <v>19469</v>
      </c>
      <c r="W68">
        <v>20312</v>
      </c>
      <c r="X68">
        <v>22242</v>
      </c>
    </row>
    <row r="69" spans="1:24" x14ac:dyDescent="0.25">
      <c r="A69" t="s">
        <v>68</v>
      </c>
      <c r="B69" t="s">
        <v>4</v>
      </c>
      <c r="C69">
        <v>6351</v>
      </c>
      <c r="D69">
        <v>5541</v>
      </c>
      <c r="E69">
        <v>5541</v>
      </c>
      <c r="F69">
        <v>8284</v>
      </c>
      <c r="G69">
        <v>6056</v>
      </c>
      <c r="H69">
        <v>4578</v>
      </c>
      <c r="I69">
        <v>6956</v>
      </c>
      <c r="J69">
        <v>10195</v>
      </c>
      <c r="K69">
        <v>9508</v>
      </c>
      <c r="L69">
        <v>8583</v>
      </c>
      <c r="M69">
        <v>8491</v>
      </c>
      <c r="N69">
        <v>9122</v>
      </c>
      <c r="O69">
        <v>10828</v>
      </c>
      <c r="P69">
        <v>11313</v>
      </c>
      <c r="Q69">
        <v>11920</v>
      </c>
      <c r="R69">
        <v>12992</v>
      </c>
      <c r="S69">
        <v>13864</v>
      </c>
      <c r="T69">
        <v>15273</v>
      </c>
      <c r="U69">
        <v>16482</v>
      </c>
      <c r="V69">
        <v>17369</v>
      </c>
      <c r="W69">
        <v>17330</v>
      </c>
      <c r="X69">
        <v>18229</v>
      </c>
    </row>
    <row r="70" spans="1:24" x14ac:dyDescent="0.25">
      <c r="A70" t="s">
        <v>69</v>
      </c>
      <c r="B70" t="s">
        <v>4</v>
      </c>
      <c r="C70">
        <v>4244</v>
      </c>
      <c r="D70">
        <v>5261</v>
      </c>
      <c r="E70">
        <v>4562</v>
      </c>
      <c r="F70">
        <v>4540</v>
      </c>
      <c r="G70">
        <v>6897</v>
      </c>
      <c r="H70">
        <v>5015</v>
      </c>
      <c r="I70">
        <v>3835</v>
      </c>
      <c r="J70">
        <v>5847</v>
      </c>
      <c r="K70">
        <v>8561</v>
      </c>
      <c r="L70">
        <v>8015</v>
      </c>
      <c r="M70">
        <v>7312</v>
      </c>
      <c r="N70">
        <v>7161</v>
      </c>
      <c r="O70">
        <v>7844</v>
      </c>
      <c r="P70">
        <v>9343</v>
      </c>
      <c r="Q70">
        <v>9824</v>
      </c>
      <c r="R70">
        <v>10259</v>
      </c>
      <c r="S70">
        <v>11223</v>
      </c>
      <c r="T70">
        <v>12122</v>
      </c>
      <c r="U70">
        <v>13339</v>
      </c>
      <c r="V70">
        <v>14466</v>
      </c>
      <c r="W70">
        <v>15245</v>
      </c>
      <c r="X70">
        <v>15283</v>
      </c>
    </row>
    <row r="71" spans="1:24" x14ac:dyDescent="0.25">
      <c r="A71" t="s">
        <v>70</v>
      </c>
      <c r="B71" t="s">
        <v>4</v>
      </c>
      <c r="C71">
        <v>3225</v>
      </c>
      <c r="D71">
        <v>3372</v>
      </c>
      <c r="E71">
        <v>4242</v>
      </c>
      <c r="F71">
        <v>3645</v>
      </c>
      <c r="G71">
        <v>3680</v>
      </c>
      <c r="H71">
        <v>5644</v>
      </c>
      <c r="I71">
        <v>4113</v>
      </c>
      <c r="J71">
        <v>3122</v>
      </c>
      <c r="K71">
        <v>4821</v>
      </c>
      <c r="L71">
        <v>7113</v>
      </c>
      <c r="M71">
        <v>6582</v>
      </c>
      <c r="N71">
        <v>6064</v>
      </c>
      <c r="O71">
        <v>5987</v>
      </c>
      <c r="P71">
        <v>6558</v>
      </c>
      <c r="Q71">
        <v>7909</v>
      </c>
      <c r="R71">
        <v>8305</v>
      </c>
      <c r="S71">
        <v>8760</v>
      </c>
      <c r="T71">
        <v>9634</v>
      </c>
      <c r="U71">
        <v>10332</v>
      </c>
      <c r="V71">
        <v>11439</v>
      </c>
      <c r="W71">
        <v>12494</v>
      </c>
      <c r="X71">
        <v>13145</v>
      </c>
    </row>
    <row r="72" spans="1:24" x14ac:dyDescent="0.25">
      <c r="A72" t="s">
        <v>71</v>
      </c>
      <c r="B72" t="s">
        <v>4</v>
      </c>
      <c r="C72">
        <v>2425</v>
      </c>
      <c r="D72">
        <v>2536</v>
      </c>
      <c r="E72">
        <v>2660</v>
      </c>
      <c r="F72">
        <v>3359</v>
      </c>
      <c r="G72">
        <v>2906</v>
      </c>
      <c r="H72">
        <v>2990</v>
      </c>
      <c r="I72">
        <v>4533</v>
      </c>
      <c r="J72">
        <v>3339</v>
      </c>
      <c r="K72">
        <v>2504</v>
      </c>
      <c r="L72">
        <v>3955</v>
      </c>
      <c r="M72">
        <v>5844</v>
      </c>
      <c r="N72">
        <v>5475</v>
      </c>
      <c r="O72">
        <v>4970</v>
      </c>
      <c r="P72">
        <v>4999</v>
      </c>
      <c r="Q72">
        <v>5458</v>
      </c>
      <c r="R72">
        <v>6613</v>
      </c>
      <c r="S72">
        <v>6925</v>
      </c>
      <c r="T72">
        <v>7336</v>
      </c>
      <c r="U72">
        <v>8085</v>
      </c>
      <c r="V72">
        <v>8664</v>
      </c>
      <c r="W72">
        <v>9700</v>
      </c>
      <c r="X72">
        <v>10552</v>
      </c>
    </row>
    <row r="73" spans="1:24" x14ac:dyDescent="0.25">
      <c r="A73" t="s">
        <v>72</v>
      </c>
      <c r="B73" t="s">
        <v>4</v>
      </c>
      <c r="C73">
        <v>1749</v>
      </c>
      <c r="D73">
        <v>1916</v>
      </c>
      <c r="E73">
        <v>1920</v>
      </c>
      <c r="F73">
        <v>2031</v>
      </c>
      <c r="G73">
        <v>2580</v>
      </c>
      <c r="H73">
        <v>2243</v>
      </c>
      <c r="I73">
        <v>2323</v>
      </c>
      <c r="J73">
        <v>3641</v>
      </c>
      <c r="K73">
        <v>2666</v>
      </c>
      <c r="L73">
        <v>2007</v>
      </c>
      <c r="M73">
        <v>3176</v>
      </c>
      <c r="N73">
        <v>4735</v>
      </c>
      <c r="O73">
        <v>4482</v>
      </c>
      <c r="P73">
        <v>3988</v>
      </c>
      <c r="Q73">
        <v>4072</v>
      </c>
      <c r="R73">
        <v>4414</v>
      </c>
      <c r="S73">
        <v>5387</v>
      </c>
      <c r="T73">
        <v>5729</v>
      </c>
      <c r="U73">
        <v>6004</v>
      </c>
      <c r="V73">
        <v>6651</v>
      </c>
      <c r="W73">
        <v>7113</v>
      </c>
      <c r="X73">
        <v>7981</v>
      </c>
    </row>
    <row r="74" spans="1:24" x14ac:dyDescent="0.25">
      <c r="A74" t="s">
        <v>73</v>
      </c>
      <c r="B74" t="s">
        <v>4</v>
      </c>
      <c r="C74">
        <v>1322</v>
      </c>
      <c r="D74">
        <v>1335</v>
      </c>
      <c r="E74">
        <v>1448</v>
      </c>
      <c r="F74">
        <v>1434</v>
      </c>
      <c r="G74">
        <v>1538</v>
      </c>
      <c r="H74">
        <v>1969</v>
      </c>
      <c r="I74">
        <v>1712</v>
      </c>
      <c r="J74">
        <v>1814</v>
      </c>
      <c r="K74">
        <v>2815</v>
      </c>
      <c r="L74">
        <v>2061</v>
      </c>
      <c r="M74">
        <v>1594</v>
      </c>
      <c r="N74">
        <v>2513</v>
      </c>
      <c r="O74">
        <v>3771</v>
      </c>
      <c r="P74">
        <v>3538</v>
      </c>
      <c r="Q74">
        <v>3185</v>
      </c>
      <c r="R74">
        <v>3248</v>
      </c>
      <c r="S74">
        <v>3537</v>
      </c>
      <c r="T74">
        <v>4327</v>
      </c>
      <c r="U74">
        <v>4604</v>
      </c>
      <c r="V74">
        <v>4798</v>
      </c>
      <c r="W74">
        <v>5349</v>
      </c>
      <c r="X74">
        <v>5710</v>
      </c>
    </row>
    <row r="75" spans="1:24" x14ac:dyDescent="0.25">
      <c r="A75" t="s">
        <v>74</v>
      </c>
      <c r="B75" t="s">
        <v>4</v>
      </c>
      <c r="C75">
        <v>911</v>
      </c>
      <c r="D75">
        <v>960</v>
      </c>
      <c r="E75">
        <v>990</v>
      </c>
      <c r="F75">
        <v>1065</v>
      </c>
      <c r="G75">
        <v>1043</v>
      </c>
      <c r="H75">
        <v>1105</v>
      </c>
      <c r="I75">
        <v>1462</v>
      </c>
      <c r="J75">
        <v>1260</v>
      </c>
      <c r="K75">
        <v>1363</v>
      </c>
      <c r="L75">
        <v>2119</v>
      </c>
      <c r="M75">
        <v>1556</v>
      </c>
      <c r="N75">
        <v>1238</v>
      </c>
      <c r="O75">
        <v>1933</v>
      </c>
      <c r="P75">
        <v>2922</v>
      </c>
      <c r="Q75">
        <v>2756</v>
      </c>
      <c r="R75">
        <v>2462</v>
      </c>
      <c r="S75">
        <v>2485</v>
      </c>
      <c r="T75">
        <v>2747</v>
      </c>
      <c r="U75">
        <v>3394</v>
      </c>
      <c r="V75">
        <v>3593</v>
      </c>
      <c r="W75">
        <v>3768</v>
      </c>
      <c r="X75">
        <v>4095</v>
      </c>
    </row>
    <row r="76" spans="1:24" x14ac:dyDescent="0.25">
      <c r="A76" t="s">
        <v>75</v>
      </c>
      <c r="B76" t="s">
        <v>4</v>
      </c>
      <c r="C76">
        <v>637</v>
      </c>
      <c r="D76">
        <v>668</v>
      </c>
      <c r="E76">
        <v>666</v>
      </c>
      <c r="F76">
        <v>685</v>
      </c>
      <c r="G76">
        <v>746</v>
      </c>
      <c r="H76">
        <v>732</v>
      </c>
      <c r="I76">
        <v>802</v>
      </c>
      <c r="J76">
        <v>1052</v>
      </c>
      <c r="K76">
        <v>892</v>
      </c>
      <c r="L76">
        <v>1017</v>
      </c>
      <c r="M76">
        <v>1576</v>
      </c>
      <c r="N76">
        <v>1155</v>
      </c>
      <c r="O76">
        <v>944</v>
      </c>
      <c r="P76">
        <v>1481</v>
      </c>
      <c r="Q76">
        <v>2216</v>
      </c>
      <c r="R76">
        <v>2067</v>
      </c>
      <c r="S76">
        <v>1850</v>
      </c>
      <c r="T76">
        <v>1891</v>
      </c>
      <c r="U76">
        <v>2089</v>
      </c>
      <c r="V76">
        <v>2579</v>
      </c>
      <c r="W76">
        <v>2704</v>
      </c>
      <c r="X76">
        <v>2847</v>
      </c>
    </row>
    <row r="77" spans="1:24" x14ac:dyDescent="0.25">
      <c r="A77" t="s">
        <v>76</v>
      </c>
      <c r="B77" t="s">
        <v>4</v>
      </c>
      <c r="C77">
        <v>463</v>
      </c>
      <c r="D77">
        <v>468</v>
      </c>
      <c r="E77">
        <v>462</v>
      </c>
      <c r="F77">
        <v>449</v>
      </c>
      <c r="G77">
        <v>479</v>
      </c>
      <c r="H77">
        <v>530</v>
      </c>
      <c r="I77">
        <v>518</v>
      </c>
      <c r="J77">
        <v>574</v>
      </c>
      <c r="K77">
        <v>766</v>
      </c>
      <c r="L77">
        <v>667</v>
      </c>
      <c r="M77">
        <v>743</v>
      </c>
      <c r="N77">
        <v>1148</v>
      </c>
      <c r="O77">
        <v>867</v>
      </c>
      <c r="P77">
        <v>717</v>
      </c>
      <c r="Q77">
        <v>1115</v>
      </c>
      <c r="R77">
        <v>1631</v>
      </c>
      <c r="S77">
        <v>1542</v>
      </c>
      <c r="T77">
        <v>1387</v>
      </c>
      <c r="U77">
        <v>1373</v>
      </c>
      <c r="V77">
        <v>1514</v>
      </c>
      <c r="W77">
        <v>1921</v>
      </c>
      <c r="X77">
        <v>1982</v>
      </c>
    </row>
    <row r="78" spans="1:24" x14ac:dyDescent="0.25">
      <c r="A78" t="s">
        <v>77</v>
      </c>
      <c r="B78" t="s">
        <v>4</v>
      </c>
      <c r="C78">
        <v>334</v>
      </c>
      <c r="D78">
        <v>315</v>
      </c>
      <c r="E78">
        <v>300</v>
      </c>
      <c r="F78">
        <v>291</v>
      </c>
      <c r="G78">
        <v>313</v>
      </c>
      <c r="H78">
        <v>338</v>
      </c>
      <c r="I78">
        <v>356</v>
      </c>
      <c r="J78">
        <v>358</v>
      </c>
      <c r="K78">
        <v>395</v>
      </c>
      <c r="L78">
        <v>521</v>
      </c>
      <c r="M78">
        <v>464</v>
      </c>
      <c r="N78">
        <v>508</v>
      </c>
      <c r="O78">
        <v>816</v>
      </c>
      <c r="P78">
        <v>616</v>
      </c>
      <c r="Q78">
        <v>533</v>
      </c>
      <c r="R78">
        <v>795</v>
      </c>
      <c r="S78">
        <v>1149</v>
      </c>
      <c r="T78">
        <v>1105</v>
      </c>
      <c r="U78">
        <v>1003</v>
      </c>
      <c r="V78">
        <v>988</v>
      </c>
      <c r="W78">
        <v>1121</v>
      </c>
      <c r="X78">
        <v>1366</v>
      </c>
    </row>
    <row r="79" spans="1:24" x14ac:dyDescent="0.25">
      <c r="A79" t="s">
        <v>78</v>
      </c>
      <c r="B79" t="s">
        <v>4</v>
      </c>
      <c r="C79">
        <v>210</v>
      </c>
      <c r="D79">
        <v>233</v>
      </c>
      <c r="E79">
        <v>207</v>
      </c>
      <c r="F79">
        <v>203</v>
      </c>
      <c r="G79">
        <v>200</v>
      </c>
      <c r="H79">
        <v>218</v>
      </c>
      <c r="I79">
        <v>224</v>
      </c>
      <c r="J79">
        <v>252</v>
      </c>
      <c r="K79">
        <v>234</v>
      </c>
      <c r="L79">
        <v>288</v>
      </c>
      <c r="M79">
        <v>345</v>
      </c>
      <c r="N79">
        <v>328</v>
      </c>
      <c r="O79">
        <v>342</v>
      </c>
      <c r="P79">
        <v>588</v>
      </c>
      <c r="Q79">
        <v>420</v>
      </c>
      <c r="R79">
        <v>357</v>
      </c>
      <c r="S79">
        <v>562</v>
      </c>
      <c r="T79">
        <v>816</v>
      </c>
      <c r="U79">
        <v>760</v>
      </c>
      <c r="V79">
        <v>716</v>
      </c>
      <c r="W79">
        <v>660</v>
      </c>
      <c r="X79">
        <v>773</v>
      </c>
    </row>
    <row r="80" spans="1:24" x14ac:dyDescent="0.25">
      <c r="A80" t="s">
        <v>79</v>
      </c>
      <c r="B80" t="s">
        <v>4</v>
      </c>
      <c r="C80">
        <v>139</v>
      </c>
      <c r="D80">
        <v>131</v>
      </c>
      <c r="E80">
        <v>139</v>
      </c>
      <c r="F80">
        <v>140</v>
      </c>
      <c r="G80">
        <v>133</v>
      </c>
      <c r="H80">
        <v>123</v>
      </c>
      <c r="I80">
        <v>144</v>
      </c>
      <c r="J80">
        <v>147</v>
      </c>
      <c r="K80">
        <v>165</v>
      </c>
      <c r="L80">
        <v>153</v>
      </c>
      <c r="M80">
        <v>183</v>
      </c>
      <c r="N80">
        <v>222</v>
      </c>
      <c r="O80">
        <v>222</v>
      </c>
      <c r="P80">
        <v>227</v>
      </c>
      <c r="Q80">
        <v>401</v>
      </c>
      <c r="R80">
        <v>277</v>
      </c>
      <c r="S80">
        <v>255</v>
      </c>
      <c r="T80">
        <v>359</v>
      </c>
      <c r="U80">
        <v>557</v>
      </c>
      <c r="V80">
        <v>505</v>
      </c>
      <c r="W80">
        <v>481</v>
      </c>
      <c r="X80">
        <v>459</v>
      </c>
    </row>
    <row r="81" spans="1:24" x14ac:dyDescent="0.25">
      <c r="A81" t="s">
        <v>80</v>
      </c>
      <c r="B81" t="s">
        <v>4</v>
      </c>
      <c r="C81">
        <v>71</v>
      </c>
      <c r="D81">
        <v>91</v>
      </c>
      <c r="E81">
        <v>81</v>
      </c>
      <c r="F81">
        <v>90</v>
      </c>
      <c r="G81">
        <v>83</v>
      </c>
      <c r="H81">
        <v>80</v>
      </c>
      <c r="I81">
        <v>86</v>
      </c>
      <c r="J81">
        <v>93</v>
      </c>
      <c r="K81">
        <v>86</v>
      </c>
      <c r="L81">
        <v>103</v>
      </c>
      <c r="M81">
        <v>98</v>
      </c>
      <c r="N81">
        <v>113</v>
      </c>
      <c r="O81">
        <v>140</v>
      </c>
      <c r="P81">
        <v>144</v>
      </c>
      <c r="Q81">
        <v>140</v>
      </c>
      <c r="R81">
        <v>247</v>
      </c>
      <c r="S81">
        <v>171</v>
      </c>
      <c r="T81">
        <v>170</v>
      </c>
      <c r="U81">
        <v>219</v>
      </c>
      <c r="V81">
        <v>345</v>
      </c>
      <c r="W81">
        <v>322</v>
      </c>
      <c r="X81">
        <v>309</v>
      </c>
    </row>
    <row r="82" spans="1:24" x14ac:dyDescent="0.25">
      <c r="A82" t="s">
        <v>81</v>
      </c>
      <c r="B82" t="s">
        <v>4</v>
      </c>
      <c r="C82">
        <v>99</v>
      </c>
      <c r="D82">
        <v>100</v>
      </c>
      <c r="E82">
        <v>119</v>
      </c>
      <c r="F82">
        <v>128</v>
      </c>
      <c r="G82">
        <v>132</v>
      </c>
      <c r="H82">
        <v>124</v>
      </c>
      <c r="I82">
        <v>113</v>
      </c>
      <c r="J82">
        <v>119</v>
      </c>
      <c r="K82">
        <v>121</v>
      </c>
      <c r="L82">
        <v>135</v>
      </c>
      <c r="M82">
        <v>152</v>
      </c>
      <c r="N82">
        <v>144</v>
      </c>
      <c r="O82">
        <v>155</v>
      </c>
      <c r="P82">
        <v>183</v>
      </c>
      <c r="Q82">
        <v>209</v>
      </c>
      <c r="R82">
        <v>223</v>
      </c>
      <c r="S82">
        <v>285</v>
      </c>
      <c r="T82">
        <v>263</v>
      </c>
      <c r="U82">
        <v>254</v>
      </c>
      <c r="V82">
        <v>295</v>
      </c>
      <c r="W82">
        <v>379</v>
      </c>
      <c r="X82">
        <v>422</v>
      </c>
    </row>
    <row r="83" spans="1:24" x14ac:dyDescent="0.25">
      <c r="A83" t="s">
        <v>82</v>
      </c>
    </row>
    <row r="101" spans="2:45" x14ac:dyDescent="0.25">
      <c r="V101" t="s">
        <v>84</v>
      </c>
    </row>
    <row r="102" spans="2:45" x14ac:dyDescent="0.25">
      <c r="AG102" t="s">
        <v>85</v>
      </c>
    </row>
    <row r="103" spans="2:45" x14ac:dyDescent="0.25">
      <c r="AS103" t="s">
        <v>86</v>
      </c>
    </row>
    <row r="104" spans="2:45" x14ac:dyDescent="0.25">
      <c r="J104" t="s">
        <v>83</v>
      </c>
    </row>
    <row r="109" spans="2:45" x14ac:dyDescent="0.25">
      <c r="B109" t="s">
        <v>102</v>
      </c>
    </row>
    <row r="110" spans="2:45" x14ac:dyDescent="0.25">
      <c r="B110">
        <f>86166+D12+E13+F14+G15+H16+I17+J18+K19+L20+M21+N22+O23+P24+Q25+R26+S27+T28+U29+V30+W31+X32</f>
        <v>1560702</v>
      </c>
    </row>
    <row r="112" spans="2:45" x14ac:dyDescent="0.25">
      <c r="B112" t="s">
        <v>101</v>
      </c>
    </row>
    <row r="113" spans="2:2" x14ac:dyDescent="0.25">
      <c r="B113">
        <f>B110/22</f>
        <v>70941</v>
      </c>
    </row>
    <row r="116" spans="2:2" x14ac:dyDescent="0.25">
      <c r="B116" t="e">
        <f>PROB(22, 5, 86166, 56958)</f>
        <v>#NUM!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Bestaande_huwelijken_naar_huwel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Youssra Ezzahi</dc:creator>
  <cp:lastModifiedBy>Youssra Ezzahi</cp:lastModifiedBy>
  <dcterms:created xsi:type="dcterms:W3CDTF">2020-10-28T23:07:18Z</dcterms:created>
  <dcterms:modified xsi:type="dcterms:W3CDTF">2020-10-29T07:51:29Z</dcterms:modified>
</cp:coreProperties>
</file>